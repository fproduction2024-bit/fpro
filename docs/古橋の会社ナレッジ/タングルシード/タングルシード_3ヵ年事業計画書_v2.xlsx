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月次PL" sheetId="1" state="visible" r:id="rId1"/>
    <sheet xmlns:r="http://schemas.openxmlformats.org/officeDocument/2006/relationships" name="事業部①ゼンタングル" sheetId="2" state="visible" r:id="rId2"/>
    <sheet xmlns:r="http://schemas.openxmlformats.org/officeDocument/2006/relationships" name="事業部②LISAPKG" sheetId="3" state="visible" r:id="rId3"/>
    <sheet xmlns:r="http://schemas.openxmlformats.org/officeDocument/2006/relationships" name="WSモデル計算" sheetId="4" state="visible" r:id="rId4"/>
    <sheet xmlns:r="http://schemas.openxmlformats.org/officeDocument/2006/relationships" name="3ヵ年統合PL" sheetId="5" state="visible" r:id="rId5"/>
    <sheet xmlns:r="http://schemas.openxmlformats.org/officeDocument/2006/relationships" name="広告ROASモデル" sheetId="6" state="visible" r:id="rId6"/>
    <sheet xmlns:r="http://schemas.openxmlformats.org/officeDocument/2006/relationships" name="3ヵ年CF計画" sheetId="7" state="visible" r:id="rId7"/>
    <sheet xmlns:r="http://schemas.openxmlformats.org/officeDocument/2006/relationships" name="月次CF計画（R9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Yu Gothic"/>
      <b val="1"/>
      <color rgb="00FFFFFF"/>
      <sz val="12"/>
    </font>
    <font>
      <name val="Yu Gothic"/>
      <b val="1"/>
      <color rgb="00FFFFFF"/>
      <sz val="9"/>
    </font>
    <font>
      <name val="Yu Gothic"/>
      <b val="1"/>
      <color rgb="00FFFFFF"/>
      <sz val="11"/>
    </font>
    <font>
      <name val="Yu Gothic"/>
      <color rgb="001A1A2E"/>
      <sz val="10"/>
    </font>
    <font>
      <name val="Yu Gothic"/>
      <b val="1"/>
      <color rgb="00FFFFFF"/>
      <sz val="10"/>
    </font>
    <font>
      <name val="Yu Gothic"/>
      <b val="1"/>
      <color rgb="00F59E0B"/>
      <sz val="10"/>
    </font>
    <font>
      <name val="Yu Gothic"/>
      <color rgb="00888888"/>
      <sz val="9"/>
    </font>
    <font>
      <name val="Yu Gothic"/>
      <color rgb="00DC2626"/>
      <sz val="9"/>
    </font>
    <font>
      <name val="Yu Gothic"/>
      <b val="1"/>
      <color rgb="00DC2626"/>
      <sz val="9"/>
    </font>
    <font>
      <name val="Yu Gothic"/>
      <b val="1"/>
      <color rgb="005B21B6"/>
      <sz val="10"/>
    </font>
    <font>
      <name val="Yu Gothic"/>
      <b val="1"/>
      <color rgb="001E6B8A"/>
      <sz val="10"/>
    </font>
    <font>
      <name val="Yu Gothic"/>
      <b val="1"/>
      <color rgb="00C8883C"/>
      <sz val="10"/>
    </font>
    <font>
      <name val="Yu Gothic"/>
      <b val="1"/>
      <color rgb="00DC2626"/>
      <sz val="10"/>
    </font>
    <font>
      <name val="Yu Gothic"/>
      <i val="1"/>
      <color rgb="00888888"/>
      <sz val="9"/>
    </font>
    <font>
      <name val="Yu Gothic"/>
      <color rgb="00DC2626"/>
      <sz val="10"/>
    </font>
    <font>
      <name val="Yu Gothic"/>
      <b val="1"/>
      <color rgb="00FFFFFF"/>
      <sz val="13"/>
    </font>
    <font>
      <name val="Yu Gothic"/>
      <color rgb="001A2744"/>
      <sz val="10"/>
    </font>
    <font>
      <name val="Yu Gothic"/>
      <color rgb="00888888"/>
      <sz val="10"/>
    </font>
    <font>
      <name val="Yu Gothic"/>
      <b val="1"/>
      <color rgb="0016A34A"/>
      <sz val="10"/>
    </font>
    <font>
      <name val="Yu Gothic"/>
      <b val="1"/>
      <color rgb="001A2744"/>
      <sz val="10"/>
    </font>
    <font>
      <name val="Yu Gothic"/>
      <color rgb="001E6B8A"/>
      <sz val="10"/>
    </font>
    <font>
      <name val="Yu Gothic"/>
      <color rgb="00CCCCCC"/>
      <sz val="10"/>
    </font>
    <font>
      <name val="Yu Gothic"/>
      <color rgb="0016A34A"/>
      <sz val="10"/>
    </font>
    <font>
      <name val="Yu Gothic"/>
      <color rgb="005B21B6"/>
      <sz val="10"/>
    </font>
    <font>
      <name val="Yu Gothic"/>
      <i val="1"/>
      <color rgb="00555555"/>
      <sz val="9"/>
    </font>
    <font>
      <name val="Yu Gothic"/>
      <i val="1"/>
      <color rgb="00444444"/>
      <sz val="9"/>
    </font>
    <font>
      <name val="Yu Gothic"/>
      <b val="1"/>
      <color rgb="001E3A5F"/>
      <sz val="10"/>
    </font>
  </fonts>
  <fills count="1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C3E6B"/>
      </patternFill>
    </fill>
    <fill>
      <patternFill patternType="solid">
        <fgColor rgb="001E6B8A"/>
      </patternFill>
    </fill>
    <fill>
      <patternFill patternType="solid">
        <fgColor rgb="00FEF9C3"/>
      </patternFill>
    </fill>
    <fill>
      <patternFill patternType="solid">
        <fgColor rgb="00F5F7FB"/>
      </patternFill>
    </fill>
    <fill>
      <patternFill patternType="solid">
        <fgColor rgb="00EDE9FE"/>
      </patternFill>
    </fill>
    <fill>
      <patternFill patternType="solid">
        <fgColor rgb="00E8F4F8"/>
      </patternFill>
    </fill>
    <fill>
      <patternFill patternType="solid">
        <fgColor rgb="00FDF4E7"/>
      </patternFill>
    </fill>
    <fill>
      <patternFill patternType="solid">
        <fgColor rgb="005B21B6"/>
      </patternFill>
    </fill>
    <fill>
      <patternFill patternType="solid">
        <fgColor rgb="00FEF2F2"/>
      </patternFill>
    </fill>
    <fill>
      <patternFill patternType="solid">
        <fgColor rgb="00F0FDF4"/>
      </patternFill>
    </fill>
    <fill>
      <patternFill patternType="solid">
        <fgColor rgb="00FFFDE7"/>
      </patternFill>
    </fill>
    <fill>
      <patternFill patternType="solid">
        <fgColor rgb="006B21B6"/>
      </patternFill>
    </fill>
    <fill>
      <patternFill patternType="solid">
        <fgColor rgb="00F0F7FF"/>
      </patternFill>
    </fill>
    <fill>
      <patternFill patternType="solid">
        <fgColor rgb="00DC2626"/>
      </patternFill>
    </fill>
    <fill>
      <patternFill patternType="solid">
        <fgColor rgb="00E8F4FE"/>
      </patternFill>
    </fill>
  </fills>
  <borders count="11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medium">
        <color rgb="001A2744"/>
      </top>
      <bottom style="medium">
        <color rgb="001A2744"/>
      </bottom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  <border>
      <left/>
      <right/>
      <top style="medium">
        <color rgb="001A2744"/>
      </top>
      <bottom/>
      <diagonal/>
    </border>
    <border>
      <left/>
      <right style="thin">
        <color rgb="00D1D9E6"/>
      </right>
      <top style="medium">
        <color rgb="001A2744"/>
      </top>
      <bottom/>
      <diagonal/>
    </border>
    <border>
      <left/>
      <right/>
      <top style="medium">
        <color rgb="001A2744"/>
      </top>
      <bottom style="medium">
        <color rgb="001A2744"/>
      </bottom>
      <diagonal/>
    </border>
    <border>
      <left/>
      <right style="thin">
        <color rgb="00D1D9E6"/>
      </right>
      <top style="medium">
        <color rgb="001A2744"/>
      </top>
      <bottom style="medium">
        <color rgb="001A2744"/>
      </bottom>
      <diagonal/>
    </border>
    <border>
      <left/>
      <right/>
      <top style="thin">
        <color rgb="00D1D9E6"/>
      </top>
      <bottom/>
      <diagonal/>
    </border>
    <border>
      <left/>
      <right style="thin">
        <color rgb="00D1D9E6"/>
      </right>
      <top style="thin">
        <color rgb="00D1D9E6"/>
      </top>
      <bottom/>
      <diagonal/>
    </border>
    <border>
      <left/>
      <right/>
      <top style="thin">
        <color rgb="00D1D9E6"/>
      </top>
      <bottom style="thin">
        <color rgb="00D1D9E6"/>
      </bottom>
      <diagonal/>
    </border>
    <border>
      <left/>
      <right style="thin">
        <color rgb="00D1D9E6"/>
      </right>
      <top style="thin">
        <color rgb="00D1D9E6"/>
      </top>
      <bottom style="thin">
        <color rgb="00D1D9E6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/>
    </xf>
    <xf numFmtId="3" fontId="8" fillId="6" borderId="2" applyAlignment="1" pivotButton="0" quotePrefix="0" xfId="0">
      <alignment horizontal="right" vertical="center"/>
    </xf>
    <xf numFmtId="3" fontId="9" fillId="4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left" vertical="center"/>
    </xf>
    <xf numFmtId="3" fontId="10" fillId="7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left" vertical="center"/>
    </xf>
    <xf numFmtId="3" fontId="11" fillId="8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left" vertical="center"/>
    </xf>
    <xf numFmtId="3" fontId="12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/>
    </xf>
    <xf numFmtId="3" fontId="15" fillId="0" borderId="2" applyAlignment="1" pivotButton="0" quotePrefix="0" xfId="0">
      <alignment horizontal="right" vertical="center"/>
    </xf>
    <xf numFmtId="3" fontId="13" fillId="4" borderId="2" applyAlignment="1" pivotButton="0" quotePrefix="0" xfId="0">
      <alignment horizontal="right" vertical="center"/>
    </xf>
    <xf numFmtId="0" fontId="16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left" vertical="center" wrapText="1"/>
    </xf>
    <xf numFmtId="3" fontId="4" fillId="8" borderId="2" applyAlignment="1" pivotButton="0" quotePrefix="0" xfId="0">
      <alignment horizontal="right" vertical="center" wrapText="1"/>
    </xf>
    <xf numFmtId="0" fontId="18" fillId="8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7" fillId="11" borderId="2" applyAlignment="1" pivotButton="0" quotePrefix="0" xfId="0">
      <alignment horizontal="left" vertical="center" wrapText="1"/>
    </xf>
    <xf numFmtId="3" fontId="15" fillId="11" borderId="2" applyAlignment="1" pivotButton="0" quotePrefix="0" xfId="0">
      <alignment horizontal="right" vertical="center" wrapText="1"/>
    </xf>
    <xf numFmtId="0" fontId="18" fillId="11" borderId="2" applyAlignment="1" pivotButton="0" quotePrefix="0" xfId="0">
      <alignment horizontal="left" vertical="center" wrapText="1"/>
    </xf>
    <xf numFmtId="0" fontId="19" fillId="12" borderId="2" applyAlignment="1" pivotButton="0" quotePrefix="0" xfId="0">
      <alignment horizontal="left" vertical="center" wrapText="1"/>
    </xf>
    <xf numFmtId="3" fontId="19" fillId="12" borderId="2" applyAlignment="1" pivotButton="0" quotePrefix="0" xfId="0">
      <alignment horizontal="right" vertical="center" wrapText="1"/>
    </xf>
    <xf numFmtId="0" fontId="18" fillId="12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right" vertical="center" wrapText="1"/>
    </xf>
    <xf numFmtId="0" fontId="20" fillId="8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17" fillId="0" borderId="2" applyAlignment="1" pivotButton="0" quotePrefix="0" xfId="0">
      <alignment horizontal="left" vertical="center" wrapText="1"/>
    </xf>
    <xf numFmtId="3" fontId="17" fillId="0" borderId="2" applyAlignment="1" pivotButton="0" quotePrefix="0" xfId="0">
      <alignment horizontal="right" vertical="center" wrapText="1"/>
    </xf>
    <xf numFmtId="3" fontId="21" fillId="0" borderId="2" applyAlignment="1" pivotButton="0" quotePrefix="0" xfId="0">
      <alignment horizontal="right" vertical="center" wrapText="1"/>
    </xf>
    <xf numFmtId="3" fontId="22" fillId="0" borderId="2" applyAlignment="1" pivotButton="0" quotePrefix="0" xfId="0">
      <alignment horizontal="right" vertical="center" wrapText="1"/>
    </xf>
    <xf numFmtId="3" fontId="17" fillId="8" borderId="2" applyAlignment="1" pivotButton="0" quotePrefix="0" xfId="0">
      <alignment horizontal="right" vertical="center" wrapText="1"/>
    </xf>
    <xf numFmtId="3" fontId="11" fillId="8" borderId="2" applyAlignment="1" pivotButton="0" quotePrefix="0" xfId="0">
      <alignment horizontal="right" vertical="center" wrapText="1"/>
    </xf>
    <xf numFmtId="3" fontId="23" fillId="8" borderId="2" applyAlignment="1" pivotButton="0" quotePrefix="0" xfId="0">
      <alignment horizontal="right" vertical="center" wrapText="1"/>
    </xf>
    <xf numFmtId="0" fontId="16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3" fontId="4" fillId="1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 wrapText="1"/>
    </xf>
    <xf numFmtId="0" fontId="19" fillId="12" borderId="2" applyAlignment="1" pivotButton="0" quotePrefix="0" xfId="0">
      <alignment horizontal="right" vertical="center" wrapText="1"/>
    </xf>
    <xf numFmtId="0" fontId="3" fillId="10" borderId="1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right" vertical="center" wrapText="1"/>
    </xf>
    <xf numFmtId="0" fontId="19" fillId="0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2" borderId="2" pivotButton="0" quotePrefix="0" xfId="0"/>
    <xf numFmtId="3" fontId="13" fillId="7" borderId="2" applyAlignment="1" pivotButton="0" quotePrefix="0" xfId="0">
      <alignment horizontal="right" vertical="center"/>
    </xf>
    <xf numFmtId="0" fontId="0" fillId="6" borderId="2" pivotButton="0" quotePrefix="0" xfId="0"/>
    <xf numFmtId="3" fontId="19" fillId="12" borderId="2" applyAlignment="1" pivotButton="0" quotePrefix="0" xfId="0">
      <alignment horizontal="right" vertical="center"/>
    </xf>
    <xf numFmtId="3" fontId="13" fillId="12" borderId="2" applyAlignment="1" pivotButton="0" quotePrefix="0" xfId="0">
      <alignment horizontal="right" vertical="center"/>
    </xf>
    <xf numFmtId="3" fontId="15" fillId="13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25" fillId="15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0" fontId="26" fillId="15" borderId="2" applyAlignment="1" pivotButton="0" quotePrefix="0" xfId="0">
      <alignment horizontal="center" vertical="center"/>
    </xf>
    <xf numFmtId="3" fontId="9" fillId="16" borderId="2" applyAlignment="1" pivotButton="0" quotePrefix="0" xfId="0">
      <alignment horizontal="right" vertical="center"/>
    </xf>
    <xf numFmtId="0" fontId="19" fillId="12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left" vertical="center"/>
    </xf>
    <xf numFmtId="3" fontId="15" fillId="11" borderId="2" applyAlignment="1" pivotButton="0" quotePrefix="0" xfId="0">
      <alignment horizontal="right" vertical="center"/>
    </xf>
    <xf numFmtId="3" fontId="13" fillId="16" borderId="2" applyAlignment="1" pivotButton="0" quotePrefix="0" xfId="0">
      <alignment horizontal="right" vertical="center"/>
    </xf>
    <xf numFmtId="0" fontId="27" fillId="17" borderId="2" applyAlignment="1" pivotButton="0" quotePrefix="0" xfId="0">
      <alignment horizontal="left" vertical="center"/>
    </xf>
    <xf numFmtId="3" fontId="27" fillId="17" borderId="2" applyAlignment="1" pivotButton="0" quotePrefix="0" xfId="0">
      <alignment horizontal="right" vertical="center"/>
    </xf>
    <xf numFmtId="3" fontId="13" fillId="17" borderId="2" applyAlignment="1" pivotButton="0" quotePrefix="0" xfId="0">
      <alignment horizontal="right" vertical="center"/>
    </xf>
    <xf numFmtId="0" fontId="25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30" customHeight="1">
      <c r="B1" s="1" t="inlineStr">
        <is>
          <t>令和9年1月期 統合月次損益計算書（2事業部合算）</t>
        </is>
      </c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8" t="n"/>
    </row>
    <row r="2" ht="22" customHeight="1">
      <c r="B2" s="2" t="inlineStr">
        <is>
          <t>勘定科目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1月</t>
        </is>
      </c>
      <c r="O2" s="3" t="inlineStr">
        <is>
          <t>年計</t>
        </is>
      </c>
    </row>
    <row r="3" ht="20" customHeight="1">
      <c r="B3" s="4" t="inlineStr">
        <is>
          <t>【粗売上高（グループ合計・参考）】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6" t="inlineStr"/>
    </row>
    <row r="4" ht="20" customHeight="1">
      <c r="B4" s="7" t="inlineStr">
        <is>
          <t xml:space="preserve">　事業部①：ゼンタングル講座</t>
        </is>
      </c>
      <c r="C4" s="8" t="n">
        <v>3367000</v>
      </c>
      <c r="D4" s="8" t="n">
        <v>3367000</v>
      </c>
      <c r="E4" s="8" t="n">
        <v>2917000</v>
      </c>
      <c r="F4" s="8" t="n">
        <v>2917000</v>
      </c>
      <c r="G4" s="8" t="n">
        <v>2917000</v>
      </c>
      <c r="H4" s="8" t="n">
        <v>4136999</v>
      </c>
      <c r="I4" s="8" t="n">
        <v>4136999</v>
      </c>
      <c r="J4" s="8" t="n">
        <v>4747000</v>
      </c>
      <c r="K4" s="8" t="n">
        <v>4747000</v>
      </c>
      <c r="L4" s="8" t="n">
        <v>5356999</v>
      </c>
      <c r="M4" s="8" t="n">
        <v>5356999</v>
      </c>
      <c r="N4" s="8" t="n">
        <v>5816999</v>
      </c>
      <c r="O4" s="9" t="n">
        <v>49783995</v>
      </c>
    </row>
    <row r="5" ht="20" customHeight="1">
      <c r="B5" s="10" t="inlineStr">
        <is>
          <t xml:space="preserve">　事業部②：アドPKG（パートナー配分前）</t>
        </is>
      </c>
      <c r="C5" s="11" t="n">
        <v>2200000</v>
      </c>
      <c r="D5" s="11" t="n">
        <v>2090000</v>
      </c>
      <c r="E5" s="11" t="n">
        <v>1980000</v>
      </c>
      <c r="F5" s="11" t="n">
        <v>1870000</v>
      </c>
      <c r="G5" s="11" t="n">
        <v>5170000</v>
      </c>
      <c r="H5" s="11" t="n">
        <v>4950000</v>
      </c>
      <c r="I5" s="11" t="n">
        <v>4730000</v>
      </c>
      <c r="J5" s="11" t="n">
        <v>4510000</v>
      </c>
      <c r="K5" s="11" t="n">
        <v>4290000</v>
      </c>
      <c r="L5" s="11" t="n">
        <v>4070000</v>
      </c>
      <c r="M5" s="11" t="n">
        <v>6050000</v>
      </c>
      <c r="N5" s="11" t="n">
        <v>5830000</v>
      </c>
      <c r="O5" s="9" t="n">
        <v>47740000</v>
      </c>
    </row>
    <row r="6" ht="20" customHeight="1">
      <c r="B6" s="12" t="inlineStr">
        <is>
          <t xml:space="preserve">　　うち外部パートナー配分（▲小笠原＋加藤）</t>
        </is>
      </c>
      <c r="C6" s="13" t="n">
        <v>-1364000</v>
      </c>
      <c r="D6" s="13" t="n">
        <v>-1295800</v>
      </c>
      <c r="E6" s="13" t="n">
        <v>-1227600</v>
      </c>
      <c r="F6" s="13" t="n">
        <v>-1159400</v>
      </c>
      <c r="G6" s="13" t="n">
        <v>-3205400</v>
      </c>
      <c r="H6" s="13" t="n">
        <v>-3069000</v>
      </c>
      <c r="I6" s="13" t="n">
        <v>-2932600</v>
      </c>
      <c r="J6" s="13" t="n">
        <v>-2796200</v>
      </c>
      <c r="K6" s="13" t="n">
        <v>-2659800</v>
      </c>
      <c r="L6" s="13" t="n">
        <v>-2523400</v>
      </c>
      <c r="M6" s="13" t="n">
        <v>-3751000</v>
      </c>
      <c r="N6" s="13" t="n">
        <v>-3614600</v>
      </c>
      <c r="O6" s="14" t="n">
        <v>-29598800</v>
      </c>
    </row>
    <row r="7" ht="20" customHeight="1">
      <c r="B7" s="15" t="inlineStr">
        <is>
          <t>粗売上合計（グループ基準）</t>
        </is>
      </c>
      <c r="C7" s="16" t="n">
        <v>5567000</v>
      </c>
      <c r="D7" s="16" t="n">
        <v>5457000</v>
      </c>
      <c r="E7" s="16" t="n">
        <v>4897000</v>
      </c>
      <c r="F7" s="16" t="n">
        <v>4787000</v>
      </c>
      <c r="G7" s="16" t="n">
        <v>8087000</v>
      </c>
      <c r="H7" s="16" t="n">
        <v>9086999</v>
      </c>
      <c r="I7" s="16" t="n">
        <v>8866999</v>
      </c>
      <c r="J7" s="16" t="n">
        <v>9257000</v>
      </c>
      <c r="K7" s="16" t="n">
        <v>9037000</v>
      </c>
      <c r="L7" s="16" t="n">
        <v>9426999</v>
      </c>
      <c r="M7" s="16" t="n">
        <v>11406999</v>
      </c>
      <c r="N7" s="16" t="n">
        <v>11646999</v>
      </c>
      <c r="O7" s="17" t="n">
        <v>97523995</v>
      </c>
    </row>
    <row r="8" ht="8" customHeight="1">
      <c r="B8" s="7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9" t="inlineStr"/>
    </row>
    <row r="9" ht="20" customHeight="1">
      <c r="B9" s="4" t="inlineStr">
        <is>
          <t>【タングルシード 営業収益（実質ベース）】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6" t="inlineStr"/>
    </row>
    <row r="10" ht="20" customHeight="1">
      <c r="B10" s="7" t="inlineStr">
        <is>
          <t xml:space="preserve">　事業部①：ゼンタングル講座 売上</t>
        </is>
      </c>
      <c r="C10" s="8" t="n">
        <v>3367000</v>
      </c>
      <c r="D10" s="8" t="n">
        <v>3367000</v>
      </c>
      <c r="E10" s="8" t="n">
        <v>2917000</v>
      </c>
      <c r="F10" s="8" t="n">
        <v>2917000</v>
      </c>
      <c r="G10" s="8" t="n">
        <v>2917000</v>
      </c>
      <c r="H10" s="8" t="n">
        <v>4136999</v>
      </c>
      <c r="I10" s="8" t="n">
        <v>4136999</v>
      </c>
      <c r="J10" s="8" t="n">
        <v>4747000</v>
      </c>
      <c r="K10" s="8" t="n">
        <v>4747000</v>
      </c>
      <c r="L10" s="8" t="n">
        <v>5356999</v>
      </c>
      <c r="M10" s="8" t="n">
        <v>5356999</v>
      </c>
      <c r="N10" s="8" t="n">
        <v>5816999</v>
      </c>
      <c r="O10" s="9" t="n">
        <v>49783995</v>
      </c>
    </row>
    <row r="11" ht="20" customHeight="1">
      <c r="B11" s="20" t="inlineStr">
        <is>
          <t xml:space="preserve">　事業部②：手残り収益（38%）</t>
        </is>
      </c>
      <c r="C11" s="21" t="n">
        <v>836000</v>
      </c>
      <c r="D11" s="21" t="n">
        <v>794200</v>
      </c>
      <c r="E11" s="21" t="n">
        <v>752400</v>
      </c>
      <c r="F11" s="21" t="n">
        <v>710600</v>
      </c>
      <c r="G11" s="21" t="n">
        <v>1964600</v>
      </c>
      <c r="H11" s="21" t="n">
        <v>1881000</v>
      </c>
      <c r="I11" s="21" t="n">
        <v>1797400</v>
      </c>
      <c r="J11" s="21" t="n">
        <v>1713800</v>
      </c>
      <c r="K11" s="21" t="n">
        <v>1630200</v>
      </c>
      <c r="L11" s="21" t="n">
        <v>1546600</v>
      </c>
      <c r="M11" s="21" t="n">
        <v>2299000</v>
      </c>
      <c r="N11" s="21" t="n">
        <v>2215400</v>
      </c>
      <c r="O11" s="9" t="n">
        <v>18141200</v>
      </c>
    </row>
    <row r="12" ht="20" customHeight="1">
      <c r="B12" s="15" t="inlineStr">
        <is>
          <t>営業収益合計（TS基準）</t>
        </is>
      </c>
      <c r="C12" s="16" t="n">
        <v>4203000</v>
      </c>
      <c r="D12" s="16" t="n">
        <v>4161200</v>
      </c>
      <c r="E12" s="16" t="n">
        <v>3669400</v>
      </c>
      <c r="F12" s="16" t="n">
        <v>3627600</v>
      </c>
      <c r="G12" s="16" t="n">
        <v>4881600</v>
      </c>
      <c r="H12" s="16" t="n">
        <v>6017999</v>
      </c>
      <c r="I12" s="16" t="n">
        <v>5934399</v>
      </c>
      <c r="J12" s="16" t="n">
        <v>6460800</v>
      </c>
      <c r="K12" s="16" t="n">
        <v>6377200</v>
      </c>
      <c r="L12" s="16" t="n">
        <v>6903599</v>
      </c>
      <c r="M12" s="16" t="n">
        <v>7655999</v>
      </c>
      <c r="N12" s="16" t="n">
        <v>8032399</v>
      </c>
      <c r="O12" s="17" t="n">
        <v>67925195</v>
      </c>
    </row>
    <row r="13" ht="8" customHeight="1">
      <c r="B13" s="7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9" t="inlineStr"/>
    </row>
    <row r="14" ht="20" customHeight="1">
      <c r="B14" s="4" t="inlineStr">
        <is>
          <t>【売上原価】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6" t="inlineStr"/>
    </row>
    <row r="15" ht="20" customHeight="1">
      <c r="B15" s="7" t="inlineStr">
        <is>
          <t xml:space="preserve">　原価</t>
        </is>
      </c>
      <c r="C15" s="8" t="n">
        <v>168350</v>
      </c>
      <c r="D15" s="8" t="n">
        <v>168350</v>
      </c>
      <c r="E15" s="8" t="n">
        <v>145850</v>
      </c>
      <c r="F15" s="8" t="n">
        <v>145850</v>
      </c>
      <c r="G15" s="8" t="n">
        <v>145850</v>
      </c>
      <c r="H15" s="8" t="n">
        <v>206849</v>
      </c>
      <c r="I15" s="8" t="n">
        <v>206849</v>
      </c>
      <c r="J15" s="8" t="n">
        <v>237350</v>
      </c>
      <c r="K15" s="8" t="n">
        <v>237350</v>
      </c>
      <c r="L15" s="8" t="n">
        <v>267849</v>
      </c>
      <c r="M15" s="8" t="n">
        <v>267849</v>
      </c>
      <c r="N15" s="8" t="n">
        <v>290849</v>
      </c>
      <c r="O15" s="9" t="n">
        <v>2489195</v>
      </c>
    </row>
    <row r="16" ht="20" customHeight="1">
      <c r="B16" s="22" t="inlineStr">
        <is>
          <t>売上総利益（TS基準）</t>
        </is>
      </c>
      <c r="C16" s="23" t="n">
        <v>4034650</v>
      </c>
      <c r="D16" s="23" t="n">
        <v>3992850</v>
      </c>
      <c r="E16" s="23" t="n">
        <v>3523550</v>
      </c>
      <c r="F16" s="23" t="n">
        <v>3481750</v>
      </c>
      <c r="G16" s="23" t="n">
        <v>4735750</v>
      </c>
      <c r="H16" s="23" t="n">
        <v>5811150</v>
      </c>
      <c r="I16" s="23" t="n">
        <v>5727550</v>
      </c>
      <c r="J16" s="23" t="n">
        <v>6223450</v>
      </c>
      <c r="K16" s="23" t="n">
        <v>6139850</v>
      </c>
      <c r="L16" s="23" t="n">
        <v>6635750</v>
      </c>
      <c r="M16" s="23" t="n">
        <v>7388150</v>
      </c>
      <c r="N16" s="23" t="n">
        <v>7741550</v>
      </c>
      <c r="O16" s="9" t="n">
        <v>65436000</v>
      </c>
    </row>
    <row r="17" ht="8" customHeight="1">
      <c r="B17" s="7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9" t="inlineStr"/>
    </row>
    <row r="18" ht="20" customHeight="1">
      <c r="B18" s="4" t="inlineStr">
        <is>
          <t>【販売費及び一般管理費（科目別）】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6" t="inlineStr"/>
    </row>
    <row r="19" ht="20" customHeight="1">
      <c r="B19" s="7" t="inlineStr">
        <is>
          <t xml:space="preserve">　広告費①（ゼンタングル）</t>
        </is>
      </c>
      <c r="C19" s="8" t="n">
        <v>1800000</v>
      </c>
      <c r="D19" s="8" t="n">
        <v>1800000</v>
      </c>
      <c r="E19" s="8" t="n">
        <v>1500000</v>
      </c>
      <c r="F19" s="8" t="n">
        <v>1500000</v>
      </c>
      <c r="G19" s="8" t="n">
        <v>1500000</v>
      </c>
      <c r="H19" s="8" t="n">
        <v>1500000</v>
      </c>
      <c r="I19" s="8" t="n">
        <v>1500000</v>
      </c>
      <c r="J19" s="8" t="n">
        <v>1500000</v>
      </c>
      <c r="K19" s="8" t="n">
        <v>1500000</v>
      </c>
      <c r="L19" s="8" t="n">
        <v>1500000</v>
      </c>
      <c r="M19" s="8" t="n">
        <v>1500000</v>
      </c>
      <c r="N19" s="8" t="n">
        <v>1400000</v>
      </c>
      <c r="O19" s="9" t="n">
        <v>18500000</v>
      </c>
    </row>
    <row r="20" ht="20" customHeight="1">
      <c r="B20" s="7" t="inlineStr">
        <is>
          <t xml:space="preserve">　　└ 広告運用手数料①（22%）</t>
        </is>
      </c>
      <c r="C20" s="8" t="n">
        <v>396000</v>
      </c>
      <c r="D20" s="8" t="n">
        <v>396000</v>
      </c>
      <c r="E20" s="8" t="n">
        <v>330000</v>
      </c>
      <c r="F20" s="8" t="n">
        <v>330000</v>
      </c>
      <c r="G20" s="8" t="n">
        <v>330000</v>
      </c>
      <c r="H20" s="8" t="n">
        <v>330000</v>
      </c>
      <c r="I20" s="8" t="n">
        <v>330000</v>
      </c>
      <c r="J20" s="8" t="n">
        <v>330000</v>
      </c>
      <c r="K20" s="8" t="n">
        <v>330000</v>
      </c>
      <c r="L20" s="8" t="n">
        <v>330000</v>
      </c>
      <c r="M20" s="8" t="n">
        <v>330000</v>
      </c>
      <c r="N20" s="8" t="n">
        <v>308000</v>
      </c>
      <c r="O20" s="9" t="n">
        <v>4070000</v>
      </c>
    </row>
    <row r="21" ht="20" customHeight="1">
      <c r="B21" s="7" t="inlineStr">
        <is>
          <t xml:space="preserve">　広告費②（LISAPKG）</t>
        </is>
      </c>
      <c r="C21" s="8" t="n">
        <v>200000</v>
      </c>
      <c r="D21" s="8" t="n">
        <v>200000</v>
      </c>
      <c r="E21" s="8" t="n">
        <v>200000</v>
      </c>
      <c r="F21" s="8" t="n">
        <v>200000</v>
      </c>
      <c r="G21" s="8" t="n">
        <v>1000000</v>
      </c>
      <c r="H21" s="8" t="n">
        <v>200000</v>
      </c>
      <c r="I21" s="8" t="n">
        <v>200000</v>
      </c>
      <c r="J21" s="8" t="n">
        <v>200000</v>
      </c>
      <c r="K21" s="8" t="n">
        <v>200000</v>
      </c>
      <c r="L21" s="8" t="n">
        <v>1000000</v>
      </c>
      <c r="M21" s="8" t="n">
        <v>200000</v>
      </c>
      <c r="N21" s="8" t="n">
        <v>200000</v>
      </c>
      <c r="O21" s="9" t="n">
        <v>4000000</v>
      </c>
    </row>
    <row r="22" ht="20" customHeight="1">
      <c r="B22" s="7" t="inlineStr">
        <is>
          <t xml:space="preserve">　　└ 広告運用手数料②（22%）</t>
        </is>
      </c>
      <c r="C22" s="8" t="n">
        <v>44000</v>
      </c>
      <c r="D22" s="8" t="n">
        <v>44000</v>
      </c>
      <c r="E22" s="8" t="n">
        <v>44000</v>
      </c>
      <c r="F22" s="8" t="n">
        <v>44000</v>
      </c>
      <c r="G22" s="8" t="n">
        <v>220000</v>
      </c>
      <c r="H22" s="8" t="n">
        <v>44000</v>
      </c>
      <c r="I22" s="8" t="n">
        <v>44000</v>
      </c>
      <c r="J22" s="8" t="n">
        <v>44000</v>
      </c>
      <c r="K22" s="8" t="n">
        <v>44000</v>
      </c>
      <c r="L22" s="8" t="n">
        <v>220000</v>
      </c>
      <c r="M22" s="8" t="n">
        <v>44000</v>
      </c>
      <c r="N22" s="8" t="n">
        <v>44000</v>
      </c>
      <c r="O22" s="9" t="n">
        <v>880000</v>
      </c>
    </row>
    <row r="23" ht="20" customHeight="1">
      <c r="B23" s="7" t="inlineStr">
        <is>
          <t xml:space="preserve">　WS会場費（7,000円/回）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140000</v>
      </c>
      <c r="I23" s="8" t="n">
        <v>140000</v>
      </c>
      <c r="J23" s="8" t="n">
        <v>210000</v>
      </c>
      <c r="K23" s="8" t="n">
        <v>210000</v>
      </c>
      <c r="L23" s="8" t="n">
        <v>280000</v>
      </c>
      <c r="M23" s="8" t="n">
        <v>280000</v>
      </c>
      <c r="N23" s="8" t="n">
        <v>350000</v>
      </c>
      <c r="O23" s="9" t="n">
        <v>1610000</v>
      </c>
    </row>
    <row r="24" ht="20" customHeight="1">
      <c r="B24" s="7" t="inlineStr">
        <is>
          <t xml:space="preserve">　WS講師報酬（10,000円/回）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200000</v>
      </c>
      <c r="I24" s="8" t="n">
        <v>200000</v>
      </c>
      <c r="J24" s="8" t="n">
        <v>300000</v>
      </c>
      <c r="K24" s="8" t="n">
        <v>300000</v>
      </c>
      <c r="L24" s="8" t="n">
        <v>400000</v>
      </c>
      <c r="M24" s="8" t="n">
        <v>400000</v>
      </c>
      <c r="N24" s="8" t="n">
        <v>500000</v>
      </c>
      <c r="O24" s="9" t="n">
        <v>2300000</v>
      </c>
    </row>
    <row r="25" ht="20" customHeight="1">
      <c r="B25" s="7" t="inlineStr">
        <is>
          <t xml:space="preserve">　Stripe決済手数料（4.5%）</t>
        </is>
      </c>
      <c r="C25" s="8" t="n">
        <v>151515</v>
      </c>
      <c r="D25" s="8" t="n">
        <v>151515</v>
      </c>
      <c r="E25" s="8" t="n">
        <v>131265</v>
      </c>
      <c r="F25" s="8" t="n">
        <v>131265</v>
      </c>
      <c r="G25" s="8" t="n">
        <v>131265</v>
      </c>
      <c r="H25" s="8" t="n">
        <v>186164</v>
      </c>
      <c r="I25" s="8" t="n">
        <v>186164</v>
      </c>
      <c r="J25" s="8" t="n">
        <v>213615</v>
      </c>
      <c r="K25" s="8" t="n">
        <v>213615</v>
      </c>
      <c r="L25" s="8" t="n">
        <v>241064</v>
      </c>
      <c r="M25" s="8" t="n">
        <v>241064</v>
      </c>
      <c r="N25" s="8" t="n">
        <v>261764</v>
      </c>
      <c r="O25" s="9" t="n">
        <v>2240275</v>
      </c>
    </row>
    <row r="26" ht="20" customHeight="1">
      <c r="B26" s="7" t="inlineStr">
        <is>
          <t xml:space="preserve">　セミナー・イベント費②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500000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500000</v>
      </c>
      <c r="M26" s="8" t="n">
        <v>0</v>
      </c>
      <c r="N26" s="8" t="n">
        <v>0</v>
      </c>
      <c r="O26" s="9" t="n">
        <v>1000000</v>
      </c>
    </row>
    <row r="27" ht="20" customHeight="1">
      <c r="B27" s="7" t="inlineStr">
        <is>
          <t xml:space="preserve">　役員報酬</t>
        </is>
      </c>
      <c r="C27" s="8" t="n">
        <v>600000</v>
      </c>
      <c r="D27" s="8" t="n">
        <v>600000</v>
      </c>
      <c r="E27" s="8" t="n">
        <v>600000</v>
      </c>
      <c r="F27" s="8" t="n">
        <v>600000</v>
      </c>
      <c r="G27" s="8" t="n">
        <v>600000</v>
      </c>
      <c r="H27" s="8" t="n">
        <v>600000</v>
      </c>
      <c r="I27" s="8" t="n">
        <v>600000</v>
      </c>
      <c r="J27" s="8" t="n">
        <v>600000</v>
      </c>
      <c r="K27" s="8" t="n">
        <v>600000</v>
      </c>
      <c r="L27" s="8" t="n">
        <v>600000</v>
      </c>
      <c r="M27" s="8" t="n">
        <v>600000</v>
      </c>
      <c r="N27" s="8" t="n">
        <v>600000</v>
      </c>
      <c r="O27" s="9" t="n">
        <v>7200000</v>
      </c>
    </row>
    <row r="28" ht="20" customHeight="1">
      <c r="B28" s="7" t="inlineStr">
        <is>
          <t xml:space="preserve">　その他販管費</t>
        </is>
      </c>
      <c r="C28" s="8" t="n">
        <v>783000</v>
      </c>
      <c r="D28" s="8" t="n">
        <v>783000</v>
      </c>
      <c r="E28" s="8" t="n">
        <v>783000</v>
      </c>
      <c r="F28" s="8" t="n">
        <v>783000</v>
      </c>
      <c r="G28" s="8" t="n">
        <v>783000</v>
      </c>
      <c r="H28" s="8" t="n">
        <v>783000</v>
      </c>
      <c r="I28" s="8" t="n">
        <v>783000</v>
      </c>
      <c r="J28" s="8" t="n">
        <v>783000</v>
      </c>
      <c r="K28" s="8" t="n">
        <v>783000</v>
      </c>
      <c r="L28" s="8" t="n">
        <v>783000</v>
      </c>
      <c r="M28" s="8" t="n">
        <v>783000</v>
      </c>
      <c r="N28" s="8" t="n">
        <v>783000</v>
      </c>
      <c r="O28" s="9" t="n">
        <v>9396000</v>
      </c>
    </row>
    <row r="29" ht="20" customHeight="1">
      <c r="B29" s="22" t="inlineStr">
        <is>
          <t>販管費合計</t>
        </is>
      </c>
      <c r="C29" s="23" t="n">
        <v>3974515</v>
      </c>
      <c r="D29" s="23" t="n">
        <v>3974515</v>
      </c>
      <c r="E29" s="23" t="n">
        <v>3588265</v>
      </c>
      <c r="F29" s="23" t="n">
        <v>3588265</v>
      </c>
      <c r="G29" s="23" t="n">
        <v>5064265</v>
      </c>
      <c r="H29" s="23" t="n">
        <v>3983164</v>
      </c>
      <c r="I29" s="23" t="n">
        <v>3983164</v>
      </c>
      <c r="J29" s="23" t="n">
        <v>4180615</v>
      </c>
      <c r="K29" s="23" t="n">
        <v>4180615</v>
      </c>
      <c r="L29" s="23" t="n">
        <v>5854064</v>
      </c>
      <c r="M29" s="23" t="n">
        <v>4378064</v>
      </c>
      <c r="N29" s="23" t="n">
        <v>4446764</v>
      </c>
      <c r="O29" s="9" t="n">
        <v>51196275</v>
      </c>
    </row>
    <row r="30" ht="8" customHeight="1">
      <c r="B30" s="7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19" t="inlineStr"/>
    </row>
    <row r="31" ht="20" customHeight="1">
      <c r="B31" s="24" t="inlineStr">
        <is>
          <t>営業利益</t>
        </is>
      </c>
      <c r="C31" s="25" t="n">
        <v>60135</v>
      </c>
      <c r="D31" s="25" t="n">
        <v>18335</v>
      </c>
      <c r="E31" s="26" t="n">
        <v>-64715</v>
      </c>
      <c r="F31" s="26" t="n">
        <v>-106515</v>
      </c>
      <c r="G31" s="26" t="n">
        <v>-328515</v>
      </c>
      <c r="H31" s="25" t="n">
        <v>1827986</v>
      </c>
      <c r="I31" s="25" t="n">
        <v>1744386</v>
      </c>
      <c r="J31" s="25" t="n">
        <v>2042835</v>
      </c>
      <c r="K31" s="25" t="n">
        <v>1959235</v>
      </c>
      <c r="L31" s="25" t="n">
        <v>781686</v>
      </c>
      <c r="M31" s="25" t="n">
        <v>3010086</v>
      </c>
      <c r="N31" s="25" t="n">
        <v>3294786</v>
      </c>
      <c r="O31" s="9" t="n">
        <v>14239725</v>
      </c>
    </row>
    <row r="32" ht="20" customHeight="1">
      <c r="B32" s="12" t="inlineStr">
        <is>
          <t xml:space="preserve">　（参考）WS開催回数</t>
        </is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20</v>
      </c>
      <c r="I32" s="27" t="n">
        <v>20</v>
      </c>
      <c r="J32" s="27" t="n">
        <v>30</v>
      </c>
      <c r="K32" s="27" t="n">
        <v>30</v>
      </c>
      <c r="L32" s="27" t="n">
        <v>40</v>
      </c>
      <c r="M32" s="27" t="n">
        <v>40</v>
      </c>
      <c r="N32" s="27" t="n">
        <v>50</v>
      </c>
      <c r="O32" s="28" t="n">
        <v>230</v>
      </c>
    </row>
    <row r="33" ht="20" customHeight="1">
      <c r="B33" s="12" t="inlineStr">
        <is>
          <t xml:space="preserve">　（参考）LISA会員数</t>
        </is>
      </c>
      <c r="C33" s="27" t="n">
        <v>20</v>
      </c>
      <c r="D33" s="27" t="n">
        <v>19</v>
      </c>
      <c r="E33" s="27" t="n">
        <v>18</v>
      </c>
      <c r="F33" s="27" t="n">
        <v>17</v>
      </c>
      <c r="G33" s="27" t="n">
        <v>47</v>
      </c>
      <c r="H33" s="27" t="n">
        <v>45</v>
      </c>
      <c r="I33" s="27" t="n">
        <v>43</v>
      </c>
      <c r="J33" s="27" t="n">
        <v>41</v>
      </c>
      <c r="K33" s="27" t="n">
        <v>39</v>
      </c>
      <c r="L33" s="27" t="n">
        <v>37</v>
      </c>
      <c r="M33" s="27" t="n">
        <v>55</v>
      </c>
      <c r="N33" s="27" t="n">
        <v>53</v>
      </c>
      <c r="O33" s="28" t="n">
        <v>434</v>
      </c>
    </row>
    <row r="35" ht="24" customHeight="1">
      <c r="B35" s="29" t="inlineStr">
        <is>
          <t>保守ROAS150%前提。WS7月スタート。返済余力:4.1倍。TS粗売上=97,523,995円 / TS営業収益=67,925,195円 / 営業利益=14,239,725円</t>
        </is>
      </c>
    </row>
  </sheetData>
  <mergeCells count="2">
    <mergeCell ref="B1:O1"/>
    <mergeCell ref="B35:O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30" customHeight="1">
      <c r="B1" s="30" t="inlineStr">
        <is>
          <t>事業部①：ゼンタングル講座 月次P/L（R9）</t>
        </is>
      </c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8" t="n"/>
    </row>
    <row r="2" ht="22" customHeight="1">
      <c r="B2" s="2" t="inlineStr">
        <is>
          <t>勘定科目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1月</t>
        </is>
      </c>
      <c r="O2" s="3" t="inlineStr">
        <is>
          <t>年計</t>
        </is>
      </c>
    </row>
    <row r="3" ht="20" customHeight="1">
      <c r="B3" s="4" t="inlineStr">
        <is>
          <t>【売上（ゼンタングル講座）】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6" t="inlineStr"/>
    </row>
    <row r="4" ht="20" customHeight="1">
      <c r="B4" s="7" t="inlineStr">
        <is>
          <t xml:space="preserve">　広告経由 新規講座売上（ROAS150%保守）</t>
        </is>
      </c>
      <c r="C4" s="8" t="n">
        <v>2700000</v>
      </c>
      <c r="D4" s="8" t="n">
        <v>2700000</v>
      </c>
      <c r="E4" s="8" t="n">
        <v>2250000</v>
      </c>
      <c r="F4" s="8" t="n">
        <v>2250000</v>
      </c>
      <c r="G4" s="8" t="n">
        <v>2250000</v>
      </c>
      <c r="H4" s="8" t="n">
        <v>2250000</v>
      </c>
      <c r="I4" s="8" t="n">
        <v>2250000</v>
      </c>
      <c r="J4" s="8" t="n">
        <v>2250000</v>
      </c>
      <c r="K4" s="8" t="n">
        <v>2250000</v>
      </c>
      <c r="L4" s="8" t="n">
        <v>2250000</v>
      </c>
      <c r="M4" s="8" t="n">
        <v>2250000</v>
      </c>
      <c r="N4" s="8" t="n">
        <v>2100000</v>
      </c>
      <c r="O4" s="9" t="n">
        <v>27750000</v>
      </c>
    </row>
    <row r="5" ht="20" customHeight="1">
      <c r="B5" s="7" t="inlineStr">
        <is>
          <t xml:space="preserve">　WS転換 新規講座売上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799999</v>
      </c>
      <c r="I5" s="8" t="n">
        <v>799999</v>
      </c>
      <c r="J5" s="8" t="n">
        <v>1200000</v>
      </c>
      <c r="K5" s="8" t="n">
        <v>1200000</v>
      </c>
      <c r="L5" s="8" t="n">
        <v>1599999</v>
      </c>
      <c r="M5" s="8" t="n">
        <v>1599999</v>
      </c>
      <c r="N5" s="8" t="n">
        <v>1999999</v>
      </c>
      <c r="O5" s="9" t="n">
        <v>9199995</v>
      </c>
    </row>
    <row r="6" ht="20" customHeight="1">
      <c r="B6" s="7" t="inlineStr">
        <is>
          <t xml:space="preserve">　WS参加費（直接・7名×3,000円）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420000</v>
      </c>
      <c r="I6" s="8" t="n">
        <v>420000</v>
      </c>
      <c r="J6" s="8" t="n">
        <v>630000</v>
      </c>
      <c r="K6" s="8" t="n">
        <v>630000</v>
      </c>
      <c r="L6" s="8" t="n">
        <v>840000</v>
      </c>
      <c r="M6" s="8" t="n">
        <v>840000</v>
      </c>
      <c r="N6" s="8" t="n">
        <v>1050000</v>
      </c>
      <c r="O6" s="9" t="n">
        <v>4830000</v>
      </c>
    </row>
    <row r="7" ht="20" customHeight="1">
      <c r="B7" s="7" t="inlineStr">
        <is>
          <t xml:space="preserve">　追加講座（エバーグリーン）</t>
        </is>
      </c>
      <c r="C7" s="8" t="n">
        <v>667000</v>
      </c>
      <c r="D7" s="8" t="n">
        <v>667000</v>
      </c>
      <c r="E7" s="8" t="n">
        <v>667000</v>
      </c>
      <c r="F7" s="8" t="n">
        <v>667000</v>
      </c>
      <c r="G7" s="8" t="n">
        <v>667000</v>
      </c>
      <c r="H7" s="8" t="n">
        <v>667000</v>
      </c>
      <c r="I7" s="8" t="n">
        <v>667000</v>
      </c>
      <c r="J7" s="8" t="n">
        <v>667000</v>
      </c>
      <c r="K7" s="8" t="n">
        <v>667000</v>
      </c>
      <c r="L7" s="8" t="n">
        <v>667000</v>
      </c>
      <c r="M7" s="8" t="n">
        <v>667000</v>
      </c>
      <c r="N7" s="8" t="n">
        <v>667000</v>
      </c>
      <c r="O7" s="9" t="n">
        <v>8004000</v>
      </c>
    </row>
    <row r="8" ht="20" customHeight="1">
      <c r="B8" s="15" t="inlineStr">
        <is>
          <t>売上合計</t>
        </is>
      </c>
      <c r="C8" s="16" t="n">
        <v>3367000</v>
      </c>
      <c r="D8" s="16" t="n">
        <v>3367000</v>
      </c>
      <c r="E8" s="16" t="n">
        <v>2917000</v>
      </c>
      <c r="F8" s="16" t="n">
        <v>2917000</v>
      </c>
      <c r="G8" s="16" t="n">
        <v>2917000</v>
      </c>
      <c r="H8" s="16" t="n">
        <v>4136999</v>
      </c>
      <c r="I8" s="16" t="n">
        <v>4136999</v>
      </c>
      <c r="J8" s="16" t="n">
        <v>4747000</v>
      </c>
      <c r="K8" s="16" t="n">
        <v>4747000</v>
      </c>
      <c r="L8" s="16" t="n">
        <v>5356999</v>
      </c>
      <c r="M8" s="16" t="n">
        <v>5356999</v>
      </c>
      <c r="N8" s="16" t="n">
        <v>5816999</v>
      </c>
      <c r="O8" s="17" t="n">
        <v>49783995</v>
      </c>
    </row>
    <row r="9" ht="20" customHeight="1">
      <c r="B9" s="12" t="inlineStr">
        <is>
          <t xml:space="preserve">　（参考）広告経由 新規受講者（÷6万）</t>
        </is>
      </c>
      <c r="C9" s="27" t="n">
        <v>45</v>
      </c>
      <c r="D9" s="27" t="n">
        <v>45</v>
      </c>
      <c r="E9" s="27" t="n">
        <v>37</v>
      </c>
      <c r="F9" s="27" t="n">
        <v>37</v>
      </c>
      <c r="G9" s="27" t="n">
        <v>37</v>
      </c>
      <c r="H9" s="27" t="n">
        <v>37</v>
      </c>
      <c r="I9" s="27" t="n">
        <v>37</v>
      </c>
      <c r="J9" s="27" t="n">
        <v>37</v>
      </c>
      <c r="K9" s="27" t="n">
        <v>37</v>
      </c>
      <c r="L9" s="27" t="n">
        <v>37</v>
      </c>
      <c r="M9" s="27" t="n">
        <v>37</v>
      </c>
      <c r="N9" s="27" t="n">
        <v>35</v>
      </c>
      <c r="O9" s="28" t="n">
        <v>458</v>
      </c>
    </row>
    <row r="10" ht="20" customHeight="1">
      <c r="B10" s="12" t="inlineStr">
        <is>
          <t xml:space="preserve">　（参考）WS転換者（2新規×1/3）</t>
        </is>
      </c>
      <c r="C10" s="31" t="n">
        <v>0</v>
      </c>
      <c r="D10" s="31" t="n">
        <v>0</v>
      </c>
      <c r="E10" s="31" t="n">
        <v>0</v>
      </c>
      <c r="F10" s="31" t="n">
        <v>0</v>
      </c>
      <c r="G10" s="31" t="n">
        <v>0</v>
      </c>
      <c r="H10" s="31" t="n">
        <v>13.3</v>
      </c>
      <c r="I10" s="31" t="n">
        <v>13.3</v>
      </c>
      <c r="J10" s="31" t="n">
        <v>20</v>
      </c>
      <c r="K10" s="31" t="n">
        <v>20</v>
      </c>
      <c r="L10" s="31" t="n">
        <v>26.7</v>
      </c>
      <c r="M10" s="31" t="n">
        <v>26.7</v>
      </c>
      <c r="N10" s="31" t="n">
        <v>33.3</v>
      </c>
      <c r="O10" s="32" t="n">
        <v>153.3</v>
      </c>
    </row>
    <row r="11" ht="8" customHeight="1">
      <c r="B11" s="7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9" t="inlineStr"/>
    </row>
    <row r="12" ht="20" customHeight="1">
      <c r="B12" s="7" t="inlineStr">
        <is>
          <t>売上原価</t>
        </is>
      </c>
      <c r="C12" s="8" t="n">
        <v>168350</v>
      </c>
      <c r="D12" s="8" t="n">
        <v>168350</v>
      </c>
      <c r="E12" s="8" t="n">
        <v>145850</v>
      </c>
      <c r="F12" s="8" t="n">
        <v>145850</v>
      </c>
      <c r="G12" s="8" t="n">
        <v>145850</v>
      </c>
      <c r="H12" s="8" t="n">
        <v>206849</v>
      </c>
      <c r="I12" s="8" t="n">
        <v>206849</v>
      </c>
      <c r="J12" s="8" t="n">
        <v>237350</v>
      </c>
      <c r="K12" s="8" t="n">
        <v>237350</v>
      </c>
      <c r="L12" s="8" t="n">
        <v>267849</v>
      </c>
      <c r="M12" s="8" t="n">
        <v>267849</v>
      </c>
      <c r="N12" s="8" t="n">
        <v>290849</v>
      </c>
      <c r="O12" s="9" t="n">
        <v>2489195</v>
      </c>
    </row>
    <row r="13" ht="20" customHeight="1">
      <c r="B13" s="22" t="inlineStr">
        <is>
          <t>売上総利益</t>
        </is>
      </c>
      <c r="C13" s="23" t="n">
        <v>3198650</v>
      </c>
      <c r="D13" s="23" t="n">
        <v>3198650</v>
      </c>
      <c r="E13" s="23" t="n">
        <v>2771150</v>
      </c>
      <c r="F13" s="23" t="n">
        <v>2771150</v>
      </c>
      <c r="G13" s="23" t="n">
        <v>2771150</v>
      </c>
      <c r="H13" s="23" t="n">
        <v>3930150</v>
      </c>
      <c r="I13" s="23" t="n">
        <v>3930150</v>
      </c>
      <c r="J13" s="23" t="n">
        <v>4509650</v>
      </c>
      <c r="K13" s="23" t="n">
        <v>4509650</v>
      </c>
      <c r="L13" s="23" t="n">
        <v>5089150</v>
      </c>
      <c r="M13" s="23" t="n">
        <v>5089150</v>
      </c>
      <c r="N13" s="23" t="n">
        <v>5526150</v>
      </c>
      <c r="O13" s="9" t="n">
        <v>47294800</v>
      </c>
    </row>
    <row r="14" ht="20" customHeight="1">
      <c r="B14" s="12" t="inlineStr">
        <is>
          <t xml:space="preserve">　粗利率</t>
        </is>
      </c>
      <c r="C14" s="31" t="n">
        <v>0.95</v>
      </c>
      <c r="D14" s="31" t="n">
        <v>0.95</v>
      </c>
      <c r="E14" s="31" t="n">
        <v>0.95</v>
      </c>
      <c r="F14" s="31" t="n">
        <v>0.95</v>
      </c>
      <c r="G14" s="31" t="n">
        <v>0.95</v>
      </c>
      <c r="H14" s="31" t="n">
        <v>0.95</v>
      </c>
      <c r="I14" s="31" t="n">
        <v>0.95</v>
      </c>
      <c r="J14" s="31" t="n">
        <v>0.95</v>
      </c>
      <c r="K14" s="31" t="n">
        <v>0.95</v>
      </c>
      <c r="L14" s="31" t="n">
        <v>0.95</v>
      </c>
      <c r="M14" s="31" t="n">
        <v>0.95</v>
      </c>
      <c r="N14" s="31" t="n">
        <v>0.95</v>
      </c>
      <c r="O14" s="32" t="n">
        <v>11.4</v>
      </c>
    </row>
    <row r="15" ht="8" customHeight="1">
      <c r="B15" s="7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9" t="inlineStr"/>
    </row>
    <row r="16" ht="20" customHeight="1">
      <c r="B16" s="4" t="inlineStr">
        <is>
          <t>【販管費】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6" t="inlineStr"/>
    </row>
    <row r="17" ht="20" customHeight="1">
      <c r="B17" s="7" t="inlineStr">
        <is>
          <t xml:space="preserve">　広告費</t>
        </is>
      </c>
      <c r="C17" s="8" t="n">
        <v>1800000</v>
      </c>
      <c r="D17" s="8" t="n">
        <v>1800000</v>
      </c>
      <c r="E17" s="8" t="n">
        <v>1500000</v>
      </c>
      <c r="F17" s="8" t="n">
        <v>1500000</v>
      </c>
      <c r="G17" s="8" t="n">
        <v>1500000</v>
      </c>
      <c r="H17" s="8" t="n">
        <v>1500000</v>
      </c>
      <c r="I17" s="8" t="n">
        <v>1500000</v>
      </c>
      <c r="J17" s="8" t="n">
        <v>1500000</v>
      </c>
      <c r="K17" s="8" t="n">
        <v>1500000</v>
      </c>
      <c r="L17" s="8" t="n">
        <v>1500000</v>
      </c>
      <c r="M17" s="8" t="n">
        <v>1500000</v>
      </c>
      <c r="N17" s="8" t="n">
        <v>1400000</v>
      </c>
      <c r="O17" s="9" t="n">
        <v>18500000</v>
      </c>
    </row>
    <row r="18" ht="20" customHeight="1">
      <c r="B18" s="7" t="inlineStr">
        <is>
          <t xml:space="preserve">　　└ 広告運用手数料（22%）</t>
        </is>
      </c>
      <c r="C18" s="8" t="n">
        <v>396000</v>
      </c>
      <c r="D18" s="8" t="n">
        <v>396000</v>
      </c>
      <c r="E18" s="8" t="n">
        <v>330000</v>
      </c>
      <c r="F18" s="8" t="n">
        <v>330000</v>
      </c>
      <c r="G18" s="8" t="n">
        <v>330000</v>
      </c>
      <c r="H18" s="8" t="n">
        <v>330000</v>
      </c>
      <c r="I18" s="8" t="n">
        <v>330000</v>
      </c>
      <c r="J18" s="8" t="n">
        <v>330000</v>
      </c>
      <c r="K18" s="8" t="n">
        <v>330000</v>
      </c>
      <c r="L18" s="8" t="n">
        <v>330000</v>
      </c>
      <c r="M18" s="8" t="n">
        <v>330000</v>
      </c>
      <c r="N18" s="8" t="n">
        <v>308000</v>
      </c>
      <c r="O18" s="9" t="n">
        <v>4070000</v>
      </c>
    </row>
    <row r="19" ht="20" customHeight="1">
      <c r="B19" s="7" t="inlineStr">
        <is>
          <t xml:space="preserve">　WS会場費（7,000円/回）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140000</v>
      </c>
      <c r="I19" s="8" t="n">
        <v>140000</v>
      </c>
      <c r="J19" s="8" t="n">
        <v>210000</v>
      </c>
      <c r="K19" s="8" t="n">
        <v>210000</v>
      </c>
      <c r="L19" s="8" t="n">
        <v>280000</v>
      </c>
      <c r="M19" s="8" t="n">
        <v>280000</v>
      </c>
      <c r="N19" s="8" t="n">
        <v>350000</v>
      </c>
      <c r="O19" s="9" t="n">
        <v>1610000</v>
      </c>
    </row>
    <row r="20" ht="20" customHeight="1">
      <c r="B20" s="7" t="inlineStr">
        <is>
          <t xml:space="preserve">　WS講師報酬（10,000円/回）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200000</v>
      </c>
      <c r="I20" s="8" t="n">
        <v>200000</v>
      </c>
      <c r="J20" s="8" t="n">
        <v>300000</v>
      </c>
      <c r="K20" s="8" t="n">
        <v>300000</v>
      </c>
      <c r="L20" s="8" t="n">
        <v>400000</v>
      </c>
      <c r="M20" s="8" t="n">
        <v>400000</v>
      </c>
      <c r="N20" s="8" t="n">
        <v>500000</v>
      </c>
      <c r="O20" s="9" t="n">
        <v>2300000</v>
      </c>
    </row>
    <row r="21" ht="20" customHeight="1">
      <c r="B21" s="7" t="inlineStr">
        <is>
          <t xml:space="preserve">　Stripe決済手数料（4.5%）</t>
        </is>
      </c>
      <c r="C21" s="8" t="n">
        <v>151515</v>
      </c>
      <c r="D21" s="8" t="n">
        <v>151515</v>
      </c>
      <c r="E21" s="8" t="n">
        <v>131265</v>
      </c>
      <c r="F21" s="8" t="n">
        <v>131265</v>
      </c>
      <c r="G21" s="8" t="n">
        <v>131265</v>
      </c>
      <c r="H21" s="8" t="n">
        <v>186164</v>
      </c>
      <c r="I21" s="8" t="n">
        <v>186164</v>
      </c>
      <c r="J21" s="8" t="n">
        <v>213615</v>
      </c>
      <c r="K21" s="8" t="n">
        <v>213615</v>
      </c>
      <c r="L21" s="8" t="n">
        <v>241064</v>
      </c>
      <c r="M21" s="8" t="n">
        <v>241064</v>
      </c>
      <c r="N21" s="8" t="n">
        <v>261764</v>
      </c>
      <c r="O21" s="9" t="n">
        <v>2240275</v>
      </c>
    </row>
    <row r="22" ht="20" customHeight="1">
      <c r="B22" s="7" t="inlineStr">
        <is>
          <t xml:space="preserve">　役員報酬（50%按分）</t>
        </is>
      </c>
      <c r="C22" s="8" t="n">
        <v>300000</v>
      </c>
      <c r="D22" s="8" t="n">
        <v>300000</v>
      </c>
      <c r="E22" s="8" t="n">
        <v>300000</v>
      </c>
      <c r="F22" s="8" t="n">
        <v>300000</v>
      </c>
      <c r="G22" s="8" t="n">
        <v>300000</v>
      </c>
      <c r="H22" s="8" t="n">
        <v>300000</v>
      </c>
      <c r="I22" s="8" t="n">
        <v>300000</v>
      </c>
      <c r="J22" s="8" t="n">
        <v>300000</v>
      </c>
      <c r="K22" s="8" t="n">
        <v>300000</v>
      </c>
      <c r="L22" s="8" t="n">
        <v>300000</v>
      </c>
      <c r="M22" s="8" t="n">
        <v>300000</v>
      </c>
      <c r="N22" s="8" t="n">
        <v>300000</v>
      </c>
      <c r="O22" s="9" t="n">
        <v>3600000</v>
      </c>
    </row>
    <row r="23" ht="20" customHeight="1">
      <c r="B23" s="7" t="inlineStr">
        <is>
          <t xml:space="preserve">　その他</t>
        </is>
      </c>
      <c r="C23" s="8" t="n">
        <v>583000</v>
      </c>
      <c r="D23" s="8" t="n">
        <v>583000</v>
      </c>
      <c r="E23" s="8" t="n">
        <v>583000</v>
      </c>
      <c r="F23" s="8" t="n">
        <v>583000</v>
      </c>
      <c r="G23" s="8" t="n">
        <v>583000</v>
      </c>
      <c r="H23" s="8" t="n">
        <v>583000</v>
      </c>
      <c r="I23" s="8" t="n">
        <v>583000</v>
      </c>
      <c r="J23" s="8" t="n">
        <v>583000</v>
      </c>
      <c r="K23" s="8" t="n">
        <v>583000</v>
      </c>
      <c r="L23" s="8" t="n">
        <v>583000</v>
      </c>
      <c r="M23" s="8" t="n">
        <v>583000</v>
      </c>
      <c r="N23" s="8" t="n">
        <v>583000</v>
      </c>
      <c r="O23" s="9" t="n">
        <v>6996000</v>
      </c>
    </row>
    <row r="24" ht="20" customHeight="1">
      <c r="B24" s="22" t="inlineStr">
        <is>
          <t>販管費合計</t>
        </is>
      </c>
      <c r="C24" s="23" t="n">
        <v>3230515</v>
      </c>
      <c r="D24" s="23" t="n">
        <v>3230515</v>
      </c>
      <c r="E24" s="23" t="n">
        <v>2844265</v>
      </c>
      <c r="F24" s="23" t="n">
        <v>2844265</v>
      </c>
      <c r="G24" s="23" t="n">
        <v>2844265</v>
      </c>
      <c r="H24" s="23" t="n">
        <v>3239164</v>
      </c>
      <c r="I24" s="23" t="n">
        <v>3239164</v>
      </c>
      <c r="J24" s="23" t="n">
        <v>3436615</v>
      </c>
      <c r="K24" s="23" t="n">
        <v>3436615</v>
      </c>
      <c r="L24" s="23" t="n">
        <v>3634064</v>
      </c>
      <c r="M24" s="23" t="n">
        <v>3634064</v>
      </c>
      <c r="N24" s="23" t="n">
        <v>3702764</v>
      </c>
      <c r="O24" s="9" t="n">
        <v>39316275</v>
      </c>
    </row>
    <row r="25" ht="8" customHeight="1">
      <c r="B25" s="7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  <c r="J25" s="18" t="inlineStr"/>
      <c r="K25" s="18" t="inlineStr"/>
      <c r="L25" s="18" t="inlineStr"/>
      <c r="M25" s="18" t="inlineStr"/>
      <c r="N25" s="18" t="inlineStr"/>
      <c r="O25" s="19" t="inlineStr"/>
    </row>
    <row r="26" ht="20" customHeight="1">
      <c r="B26" s="24" t="inlineStr">
        <is>
          <t>営業利益</t>
        </is>
      </c>
      <c r="C26" s="26" t="n">
        <v>-31865</v>
      </c>
      <c r="D26" s="26" t="n">
        <v>-31865</v>
      </c>
      <c r="E26" s="26" t="n">
        <v>-73115</v>
      </c>
      <c r="F26" s="26" t="n">
        <v>-73115</v>
      </c>
      <c r="G26" s="26" t="n">
        <v>-73115</v>
      </c>
      <c r="H26" s="25" t="n">
        <v>690986</v>
      </c>
      <c r="I26" s="25" t="n">
        <v>690986</v>
      </c>
      <c r="J26" s="25" t="n">
        <v>1073035</v>
      </c>
      <c r="K26" s="25" t="n">
        <v>1073035</v>
      </c>
      <c r="L26" s="25" t="n">
        <v>1455086</v>
      </c>
      <c r="M26" s="25" t="n">
        <v>1455086</v>
      </c>
      <c r="N26" s="25" t="n">
        <v>1823386</v>
      </c>
      <c r="O26" s="9" t="n">
        <v>7978525</v>
      </c>
    </row>
    <row r="27" ht="20" customHeight="1">
      <c r="B27" s="12" t="inlineStr">
        <is>
          <t xml:space="preserve">　（参考）WS拠点数</t>
        </is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10</v>
      </c>
      <c r="I27" s="27" t="n">
        <v>10</v>
      </c>
      <c r="J27" s="27" t="n">
        <v>15</v>
      </c>
      <c r="K27" s="27" t="n">
        <v>15</v>
      </c>
      <c r="L27" s="27" t="n">
        <v>20</v>
      </c>
      <c r="M27" s="27" t="n">
        <v>20</v>
      </c>
      <c r="N27" s="27" t="n">
        <v>25</v>
      </c>
      <c r="O27" s="28" t="n">
        <v>115</v>
      </c>
    </row>
    <row r="28" ht="20" customHeight="1">
      <c r="B28" s="12" t="inlineStr">
        <is>
          <t xml:space="preserve">　（参考）WS開催回数/月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20</v>
      </c>
      <c r="I28" s="27" t="n">
        <v>20</v>
      </c>
      <c r="J28" s="27" t="n">
        <v>30</v>
      </c>
      <c r="K28" s="27" t="n">
        <v>30</v>
      </c>
      <c r="L28" s="27" t="n">
        <v>40</v>
      </c>
      <c r="M28" s="27" t="n">
        <v>40</v>
      </c>
      <c r="N28" s="27" t="n">
        <v>50</v>
      </c>
      <c r="O28" s="28" t="n">
        <v>230</v>
      </c>
    </row>
    <row r="30" ht="24" customHeight="1">
      <c r="B30" s="29" t="inlineStr">
        <is>
          <t>WS7月スタート・10拠点×2回/月=20回。2ヶ月ごと+5拠点。転換モデル：7名来場→2名新規→1/3が6万円購入。ROAS150%（保守）。</t>
        </is>
      </c>
    </row>
  </sheetData>
  <mergeCells count="2">
    <mergeCell ref="B1:O1"/>
    <mergeCell ref="B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30" customHeight="1">
      <c r="B1" s="33" t="inlineStr">
        <is>
          <t>事業部②：アドバンスPKG（LISA型11万円）月次P/L（R9）</t>
        </is>
      </c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8" t="n"/>
    </row>
    <row r="2" ht="22" customHeight="1">
      <c r="B2" s="2" t="inlineStr">
        <is>
          <t>勘定科目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1月</t>
        </is>
      </c>
      <c r="O2" s="3" t="inlineStr">
        <is>
          <t>年計</t>
        </is>
      </c>
    </row>
    <row r="3" ht="20" customHeight="1">
      <c r="B3" s="4" t="inlineStr">
        <is>
          <t>【会員・収益】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6" t="inlineStr"/>
    </row>
    <row r="4" ht="20" customHeight="1">
      <c r="B4" s="20" t="inlineStr">
        <is>
          <t xml:space="preserve">　月初会員数（人）</t>
        </is>
      </c>
      <c r="C4" s="21" t="n">
        <v>20</v>
      </c>
      <c r="D4" s="21" t="n">
        <v>19</v>
      </c>
      <c r="E4" s="21" t="n">
        <v>18</v>
      </c>
      <c r="F4" s="21" t="n">
        <v>17</v>
      </c>
      <c r="G4" s="21" t="n">
        <v>47</v>
      </c>
      <c r="H4" s="21" t="n">
        <v>45</v>
      </c>
      <c r="I4" s="21" t="n">
        <v>43</v>
      </c>
      <c r="J4" s="21" t="n">
        <v>41</v>
      </c>
      <c r="K4" s="21" t="n">
        <v>39</v>
      </c>
      <c r="L4" s="21" t="n">
        <v>37</v>
      </c>
      <c r="M4" s="21" t="n">
        <v>55</v>
      </c>
      <c r="N4" s="21" t="n">
        <v>53</v>
      </c>
      <c r="O4" s="9" t="n">
        <v>434</v>
      </c>
    </row>
    <row r="5" ht="20" customHeight="1">
      <c r="B5" s="15" t="inlineStr">
        <is>
          <t xml:space="preserve">　月次粗売上（会員×11万）</t>
        </is>
      </c>
      <c r="C5" s="16" t="n">
        <v>2200000</v>
      </c>
      <c r="D5" s="16" t="n">
        <v>2090000</v>
      </c>
      <c r="E5" s="16" t="n">
        <v>1980000</v>
      </c>
      <c r="F5" s="16" t="n">
        <v>1870000</v>
      </c>
      <c r="G5" s="16" t="n">
        <v>5170000</v>
      </c>
      <c r="H5" s="16" t="n">
        <v>4950000</v>
      </c>
      <c r="I5" s="16" t="n">
        <v>4730000</v>
      </c>
      <c r="J5" s="16" t="n">
        <v>4510000</v>
      </c>
      <c r="K5" s="16" t="n">
        <v>4290000</v>
      </c>
      <c r="L5" s="16" t="n">
        <v>4070000</v>
      </c>
      <c r="M5" s="16" t="n">
        <v>6050000</v>
      </c>
      <c r="N5" s="16" t="n">
        <v>5830000</v>
      </c>
      <c r="O5" s="17" t="n">
        <v>47740000</v>
      </c>
    </row>
    <row r="6" ht="20" customHeight="1">
      <c r="B6" s="7" t="inlineStr">
        <is>
          <t xml:space="preserve">　　▲ 小笠原さん配分（20%）</t>
        </is>
      </c>
      <c r="C6" s="34" t="n">
        <v>-440000</v>
      </c>
      <c r="D6" s="34" t="n">
        <v>-418000</v>
      </c>
      <c r="E6" s="34" t="n">
        <v>-396000</v>
      </c>
      <c r="F6" s="34" t="n">
        <v>-374000</v>
      </c>
      <c r="G6" s="34" t="n">
        <v>-1034000</v>
      </c>
      <c r="H6" s="34" t="n">
        <v>-990000</v>
      </c>
      <c r="I6" s="34" t="n">
        <v>-946000</v>
      </c>
      <c r="J6" s="34" t="n">
        <v>-902000</v>
      </c>
      <c r="K6" s="34" t="n">
        <v>-858000</v>
      </c>
      <c r="L6" s="34" t="n">
        <v>-814000</v>
      </c>
      <c r="M6" s="34" t="n">
        <v>-1210000</v>
      </c>
      <c r="N6" s="34" t="n">
        <v>-1166000</v>
      </c>
      <c r="O6" s="35" t="n">
        <v>-9548000</v>
      </c>
    </row>
    <row r="7" ht="20" customHeight="1">
      <c r="B7" s="7" t="inlineStr">
        <is>
          <t xml:space="preserve">　　▲ 加藤さん＋Stripe分（42%）</t>
        </is>
      </c>
      <c r="C7" s="34" t="n">
        <v>-924000</v>
      </c>
      <c r="D7" s="34" t="n">
        <v>-877800</v>
      </c>
      <c r="E7" s="34" t="n">
        <v>-831600</v>
      </c>
      <c r="F7" s="34" t="n">
        <v>-785400</v>
      </c>
      <c r="G7" s="34" t="n">
        <v>-2171400</v>
      </c>
      <c r="H7" s="34" t="n">
        <v>-2079000</v>
      </c>
      <c r="I7" s="34" t="n">
        <v>-1986600</v>
      </c>
      <c r="J7" s="34" t="n">
        <v>-1894200</v>
      </c>
      <c r="K7" s="34" t="n">
        <v>-1801800</v>
      </c>
      <c r="L7" s="34" t="n">
        <v>-1709400</v>
      </c>
      <c r="M7" s="34" t="n">
        <v>-2541000</v>
      </c>
      <c r="N7" s="34" t="n">
        <v>-2448600</v>
      </c>
      <c r="O7" s="35" t="n">
        <v>-20050800</v>
      </c>
    </row>
    <row r="8" ht="20" customHeight="1">
      <c r="B8" s="20" t="inlineStr">
        <is>
          <t>タングルシード 手残り収益（38%）</t>
        </is>
      </c>
      <c r="C8" s="21" t="n">
        <v>836000</v>
      </c>
      <c r="D8" s="21" t="n">
        <v>794200</v>
      </c>
      <c r="E8" s="21" t="n">
        <v>752400</v>
      </c>
      <c r="F8" s="21" t="n">
        <v>710600</v>
      </c>
      <c r="G8" s="21" t="n">
        <v>1964600</v>
      </c>
      <c r="H8" s="21" t="n">
        <v>1881000</v>
      </c>
      <c r="I8" s="21" t="n">
        <v>1797400</v>
      </c>
      <c r="J8" s="21" t="n">
        <v>1713800</v>
      </c>
      <c r="K8" s="21" t="n">
        <v>1630200</v>
      </c>
      <c r="L8" s="21" t="n">
        <v>1546600</v>
      </c>
      <c r="M8" s="21" t="n">
        <v>2299000</v>
      </c>
      <c r="N8" s="21" t="n">
        <v>2215400</v>
      </c>
      <c r="O8" s="9" t="n">
        <v>18141200</v>
      </c>
    </row>
    <row r="9" ht="8" customHeight="1">
      <c r="B9" s="7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9" t="inlineStr"/>
    </row>
    <row r="10" ht="20" customHeight="1">
      <c r="B10" s="4" t="inlineStr">
        <is>
          <t>【販管費】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/>
    </row>
    <row r="11" ht="20" customHeight="1">
      <c r="B11" s="7" t="inlineStr">
        <is>
          <t xml:space="preserve">　広告費（PKG専用）</t>
        </is>
      </c>
      <c r="C11" s="8" t="n">
        <v>200000</v>
      </c>
      <c r="D11" s="8" t="n">
        <v>200000</v>
      </c>
      <c r="E11" s="8" t="n">
        <v>200000</v>
      </c>
      <c r="F11" s="8" t="n">
        <v>200000</v>
      </c>
      <c r="G11" s="8" t="n">
        <v>1000000</v>
      </c>
      <c r="H11" s="8" t="n">
        <v>200000</v>
      </c>
      <c r="I11" s="8" t="n">
        <v>200000</v>
      </c>
      <c r="J11" s="8" t="n">
        <v>200000</v>
      </c>
      <c r="K11" s="8" t="n">
        <v>200000</v>
      </c>
      <c r="L11" s="8" t="n">
        <v>1000000</v>
      </c>
      <c r="M11" s="8" t="n">
        <v>200000</v>
      </c>
      <c r="N11" s="8" t="n">
        <v>200000</v>
      </c>
      <c r="O11" s="9" t="n">
        <v>4000000</v>
      </c>
    </row>
    <row r="12" ht="20" customHeight="1">
      <c r="B12" s="7" t="inlineStr">
        <is>
          <t xml:space="preserve">　　└ 広告運用手数料（22%）</t>
        </is>
      </c>
      <c r="C12" s="8" t="n">
        <v>44000</v>
      </c>
      <c r="D12" s="8" t="n">
        <v>44000</v>
      </c>
      <c r="E12" s="8" t="n">
        <v>44000</v>
      </c>
      <c r="F12" s="8" t="n">
        <v>44000</v>
      </c>
      <c r="G12" s="8" t="n">
        <v>220000</v>
      </c>
      <c r="H12" s="8" t="n">
        <v>44000</v>
      </c>
      <c r="I12" s="8" t="n">
        <v>44000</v>
      </c>
      <c r="J12" s="8" t="n">
        <v>44000</v>
      </c>
      <c r="K12" s="8" t="n">
        <v>44000</v>
      </c>
      <c r="L12" s="8" t="n">
        <v>220000</v>
      </c>
      <c r="M12" s="8" t="n">
        <v>44000</v>
      </c>
      <c r="N12" s="8" t="n">
        <v>44000</v>
      </c>
      <c r="O12" s="9" t="n">
        <v>880000</v>
      </c>
    </row>
    <row r="13" ht="20" customHeight="1">
      <c r="B13" s="7" t="inlineStr">
        <is>
          <t xml:space="preserve">　セミナー・イベント費（5月・11月）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500000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500000</v>
      </c>
      <c r="M13" s="8" t="n">
        <v>0</v>
      </c>
      <c r="N13" s="8" t="n">
        <v>0</v>
      </c>
      <c r="O13" s="9" t="n">
        <v>1000000</v>
      </c>
    </row>
    <row r="14" ht="20" customHeight="1">
      <c r="B14" s="7" t="inlineStr">
        <is>
          <t xml:space="preserve">　役員報酬（50%按分）</t>
        </is>
      </c>
      <c r="C14" s="8" t="n">
        <v>300000</v>
      </c>
      <c r="D14" s="8" t="n">
        <v>300000</v>
      </c>
      <c r="E14" s="8" t="n">
        <v>300000</v>
      </c>
      <c r="F14" s="8" t="n">
        <v>300000</v>
      </c>
      <c r="G14" s="8" t="n">
        <v>300000</v>
      </c>
      <c r="H14" s="8" t="n">
        <v>300000</v>
      </c>
      <c r="I14" s="8" t="n">
        <v>300000</v>
      </c>
      <c r="J14" s="8" t="n">
        <v>300000</v>
      </c>
      <c r="K14" s="8" t="n">
        <v>300000</v>
      </c>
      <c r="L14" s="8" t="n">
        <v>300000</v>
      </c>
      <c r="M14" s="8" t="n">
        <v>300000</v>
      </c>
      <c r="N14" s="8" t="n">
        <v>300000</v>
      </c>
      <c r="O14" s="9" t="n">
        <v>3600000</v>
      </c>
    </row>
    <row r="15" ht="20" customHeight="1">
      <c r="B15" s="7" t="inlineStr">
        <is>
          <t xml:space="preserve">　その他管理費</t>
        </is>
      </c>
      <c r="C15" s="8" t="n">
        <v>200000</v>
      </c>
      <c r="D15" s="8" t="n">
        <v>200000</v>
      </c>
      <c r="E15" s="8" t="n">
        <v>200000</v>
      </c>
      <c r="F15" s="8" t="n">
        <v>200000</v>
      </c>
      <c r="G15" s="8" t="n">
        <v>200000</v>
      </c>
      <c r="H15" s="8" t="n">
        <v>200000</v>
      </c>
      <c r="I15" s="8" t="n">
        <v>200000</v>
      </c>
      <c r="J15" s="8" t="n">
        <v>200000</v>
      </c>
      <c r="K15" s="8" t="n">
        <v>200000</v>
      </c>
      <c r="L15" s="8" t="n">
        <v>200000</v>
      </c>
      <c r="M15" s="8" t="n">
        <v>200000</v>
      </c>
      <c r="N15" s="8" t="n">
        <v>200000</v>
      </c>
      <c r="O15" s="9" t="n">
        <v>2400000</v>
      </c>
    </row>
    <row r="16" ht="20" customHeight="1">
      <c r="B16" s="22" t="inlineStr">
        <is>
          <t>販管費合計</t>
        </is>
      </c>
      <c r="C16" s="23" t="n">
        <v>744000</v>
      </c>
      <c r="D16" s="23" t="n">
        <v>744000</v>
      </c>
      <c r="E16" s="23" t="n">
        <v>744000</v>
      </c>
      <c r="F16" s="23" t="n">
        <v>744000</v>
      </c>
      <c r="G16" s="23" t="n">
        <v>2220000</v>
      </c>
      <c r="H16" s="23" t="n">
        <v>744000</v>
      </c>
      <c r="I16" s="23" t="n">
        <v>744000</v>
      </c>
      <c r="J16" s="23" t="n">
        <v>744000</v>
      </c>
      <c r="K16" s="23" t="n">
        <v>744000</v>
      </c>
      <c r="L16" s="23" t="n">
        <v>2220000</v>
      </c>
      <c r="M16" s="23" t="n">
        <v>744000</v>
      </c>
      <c r="N16" s="23" t="n">
        <v>744000</v>
      </c>
      <c r="O16" s="9" t="n">
        <v>11880000</v>
      </c>
    </row>
    <row r="17" ht="8" customHeight="1">
      <c r="B17" s="7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9" t="inlineStr"/>
    </row>
    <row r="18" ht="20" customHeight="1">
      <c r="B18" s="24" t="inlineStr">
        <is>
          <t>営業利益（TS手残りベース）</t>
        </is>
      </c>
      <c r="C18" s="25" t="n">
        <v>92000</v>
      </c>
      <c r="D18" s="25" t="n">
        <v>50200</v>
      </c>
      <c r="E18" s="25" t="n">
        <v>8400</v>
      </c>
      <c r="F18" s="26" t="n">
        <v>-33400</v>
      </c>
      <c r="G18" s="26" t="n">
        <v>-255400</v>
      </c>
      <c r="H18" s="25" t="n">
        <v>1137000</v>
      </c>
      <c r="I18" s="25" t="n">
        <v>1053400</v>
      </c>
      <c r="J18" s="25" t="n">
        <v>969800</v>
      </c>
      <c r="K18" s="25" t="n">
        <v>886200</v>
      </c>
      <c r="L18" s="26" t="n">
        <v>-673400</v>
      </c>
      <c r="M18" s="25" t="n">
        <v>1555000</v>
      </c>
      <c r="N18" s="25" t="n">
        <v>1471400</v>
      </c>
      <c r="O18" s="9" t="n">
        <v>6261200</v>
      </c>
    </row>
    <row r="19" ht="8" customHeight="1">
      <c r="B19" s="7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9" t="inlineStr"/>
    </row>
    <row r="20" ht="20" customHeight="1">
      <c r="B20" s="4" t="inlineStr">
        <is>
          <t>【収益配分明細（参考）】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6" t="inlineStr"/>
    </row>
    <row r="21" ht="20" customHeight="1">
      <c r="B21" s="12" t="inlineStr">
        <is>
          <t xml:space="preserve">　月次粗売上（= 会員 × ¥110,000）</t>
        </is>
      </c>
      <c r="C21" s="27" t="n">
        <v>2200000</v>
      </c>
      <c r="D21" s="27" t="n">
        <v>2090000</v>
      </c>
      <c r="E21" s="27" t="n">
        <v>1980000</v>
      </c>
      <c r="F21" s="27" t="n">
        <v>1870000</v>
      </c>
      <c r="G21" s="27" t="n">
        <v>5170000</v>
      </c>
      <c r="H21" s="27" t="n">
        <v>4950000</v>
      </c>
      <c r="I21" s="27" t="n">
        <v>4730000</v>
      </c>
      <c r="J21" s="27" t="n">
        <v>4510000</v>
      </c>
      <c r="K21" s="27" t="n">
        <v>4290000</v>
      </c>
      <c r="L21" s="27" t="n">
        <v>4070000</v>
      </c>
      <c r="M21" s="27" t="n">
        <v>6050000</v>
      </c>
      <c r="N21" s="27" t="n">
        <v>5830000</v>
      </c>
      <c r="O21" s="28" t="n">
        <v>47740000</v>
      </c>
    </row>
    <row r="22" ht="20" customHeight="1">
      <c r="B22" s="12" t="inlineStr">
        <is>
          <t xml:space="preserve">　小笠原（20%）</t>
        </is>
      </c>
      <c r="C22" s="27" t="n">
        <v>440000</v>
      </c>
      <c r="D22" s="27" t="n">
        <v>418000</v>
      </c>
      <c r="E22" s="27" t="n">
        <v>396000</v>
      </c>
      <c r="F22" s="27" t="n">
        <v>374000</v>
      </c>
      <c r="G22" s="27" t="n">
        <v>1034000</v>
      </c>
      <c r="H22" s="27" t="n">
        <v>990000</v>
      </c>
      <c r="I22" s="27" t="n">
        <v>946000</v>
      </c>
      <c r="J22" s="27" t="n">
        <v>902000</v>
      </c>
      <c r="K22" s="27" t="n">
        <v>858000</v>
      </c>
      <c r="L22" s="27" t="n">
        <v>814000</v>
      </c>
      <c r="M22" s="27" t="n">
        <v>1210000</v>
      </c>
      <c r="N22" s="27" t="n">
        <v>1166000</v>
      </c>
      <c r="O22" s="28" t="n">
        <v>9548000</v>
      </c>
    </row>
    <row r="23" ht="20" customHeight="1">
      <c r="B23" s="12" t="inlineStr">
        <is>
          <t xml:space="preserve">　加藤＋Stripe（約42%）</t>
        </is>
      </c>
      <c r="C23" s="27" t="n">
        <v>924000</v>
      </c>
      <c r="D23" s="27" t="n">
        <v>877800</v>
      </c>
      <c r="E23" s="27" t="n">
        <v>831600</v>
      </c>
      <c r="F23" s="27" t="n">
        <v>785400</v>
      </c>
      <c r="G23" s="27" t="n">
        <v>2171400</v>
      </c>
      <c r="H23" s="27" t="n">
        <v>2079000</v>
      </c>
      <c r="I23" s="27" t="n">
        <v>1986600</v>
      </c>
      <c r="J23" s="27" t="n">
        <v>1894200</v>
      </c>
      <c r="K23" s="27" t="n">
        <v>1801800</v>
      </c>
      <c r="L23" s="27" t="n">
        <v>1709400</v>
      </c>
      <c r="M23" s="27" t="n">
        <v>2541000</v>
      </c>
      <c r="N23" s="27" t="n">
        <v>2448600</v>
      </c>
      <c r="O23" s="28" t="n">
        <v>20050800</v>
      </c>
    </row>
    <row r="24" ht="20" customHeight="1">
      <c r="B24" s="12" t="inlineStr">
        <is>
          <t xml:space="preserve">　TangleSeed手残り（38%）</t>
        </is>
      </c>
      <c r="C24" s="27" t="n">
        <v>836000</v>
      </c>
      <c r="D24" s="27" t="n">
        <v>794200</v>
      </c>
      <c r="E24" s="27" t="n">
        <v>752400</v>
      </c>
      <c r="F24" s="27" t="n">
        <v>710600</v>
      </c>
      <c r="G24" s="27" t="n">
        <v>1964600</v>
      </c>
      <c r="H24" s="27" t="n">
        <v>1881000</v>
      </c>
      <c r="I24" s="27" t="n">
        <v>1797400</v>
      </c>
      <c r="J24" s="27" t="n">
        <v>1713800</v>
      </c>
      <c r="K24" s="27" t="n">
        <v>1630200</v>
      </c>
      <c r="L24" s="27" t="n">
        <v>1546600</v>
      </c>
      <c r="M24" s="27" t="n">
        <v>2299000</v>
      </c>
      <c r="N24" s="27" t="n">
        <v>2215400</v>
      </c>
      <c r="O24" s="28" t="n">
        <v>18141200</v>
      </c>
    </row>
    <row r="26" ht="24" customHeight="1">
      <c r="B26" s="29" t="inlineStr">
        <is>
          <t>5月セミナー→6月+30名。11月セミナー→12月+20名入会。月次チャーン約1-2名（年40%）。TangleSeed手残り38%（小笠原20%・加藤+Stripe 42%控除後）。</t>
        </is>
      </c>
    </row>
  </sheetData>
  <mergeCells count="2">
    <mergeCell ref="B26:O26"/>
    <mergeCell ref="B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30" customHeight="1">
      <c r="B1" s="36" t="inlineStr">
        <is>
          <t>ワークショップ ユニットエコノミクス &amp; 规模計算</t>
        </is>
      </c>
      <c r="C1" s="77" t="n"/>
      <c r="D1" s="77" t="n"/>
      <c r="E1" s="78" t="n"/>
    </row>
    <row r="3" ht="24" customHeight="1">
      <c r="B3" s="37" t="inlineStr">
        <is>
          <t>■ 1回開催あたり 収支モデル</t>
        </is>
      </c>
      <c r="C3" s="77" t="n"/>
      <c r="D3" s="77" t="n"/>
      <c r="E3" s="78" t="n"/>
    </row>
    <row r="4" ht="22" customHeight="1">
      <c r="B4" s="38" t="inlineStr">
        <is>
          <t>参加者数</t>
        </is>
      </c>
      <c r="C4" s="39" t="n">
        <v>7</v>
      </c>
      <c r="D4" s="40" t="inlineStr">
        <is>
          <t>名</t>
        </is>
      </c>
      <c r="E4" s="40" t="inlineStr">
        <is>
          <t xml:space="preserve"> </t>
        </is>
      </c>
    </row>
    <row r="5" ht="22" customHeight="1">
      <c r="B5" s="38" t="inlineStr">
        <is>
          <t>参加費（1人）</t>
        </is>
      </c>
      <c r="C5" s="39" t="n">
        <v>3000</v>
      </c>
      <c r="D5" s="40" t="inlineStr">
        <is>
          <t>円</t>
        </is>
      </c>
      <c r="E5" s="40" t="inlineStr">
        <is>
          <t>収入</t>
        </is>
      </c>
    </row>
    <row r="6" ht="22" customHeight="1">
      <c r="B6" s="38" t="inlineStr">
        <is>
          <t>参加費収入（合計）</t>
        </is>
      </c>
      <c r="C6" s="39" t="n">
        <v>21000</v>
      </c>
      <c r="D6" s="40" t="inlineStr">
        <is>
          <t>円</t>
        </is>
      </c>
      <c r="E6" s="40">
        <f>7×3,000</f>
        <v/>
      </c>
    </row>
    <row r="7" ht="8" customHeight="1">
      <c r="B7" s="41" t="n"/>
      <c r="C7" s="79" t="n"/>
      <c r="D7" s="79" t="n"/>
      <c r="E7" s="80" t="n"/>
    </row>
    <row r="8" ht="22" customHeight="1">
      <c r="B8" s="42" t="inlineStr">
        <is>
          <t>会場代（固定）</t>
        </is>
      </c>
      <c r="C8" s="43" t="n">
        <v>-7000</v>
      </c>
      <c r="D8" s="44" t="inlineStr">
        <is>
          <t>円</t>
        </is>
      </c>
      <c r="E8" s="44" t="inlineStr">
        <is>
          <t>費用</t>
        </is>
      </c>
    </row>
    <row r="9" ht="22" customHeight="1">
      <c r="B9" s="42" t="inlineStr">
        <is>
          <t>講師報酬（固定/回）</t>
        </is>
      </c>
      <c r="C9" s="43" t="n">
        <v>-10000</v>
      </c>
      <c r="D9" s="44" t="inlineStr">
        <is>
          <t>円</t>
        </is>
      </c>
      <c r="E9" s="44" t="inlineStr">
        <is>
          <t>費用</t>
        </is>
      </c>
    </row>
    <row r="10" ht="22" customHeight="1">
      <c r="B10" s="45" t="inlineStr">
        <is>
          <t>本部手残りWS直接</t>
        </is>
      </c>
      <c r="C10" s="46" t="n">
        <v>4000</v>
      </c>
      <c r="D10" s="47" t="inlineStr">
        <is>
          <t>円</t>
        </is>
      </c>
      <c r="E10" s="47">
        <f>21,000-17,000</f>
        <v/>
      </c>
    </row>
    <row r="11" ht="8" customHeight="1">
      <c r="B11" s="41" t="n"/>
      <c r="C11" s="79" t="n"/>
      <c r="D11" s="79" t="n"/>
      <c r="E11" s="80" t="n"/>
    </row>
    <row r="12" ht="22" customHeight="1">
      <c r="B12" s="38" t="inlineStr">
        <is>
          <t>新規参加者</t>
        </is>
      </c>
      <c r="C12" s="39" t="n">
        <v>2</v>
      </c>
      <c r="D12" s="40" t="inlineStr">
        <is>
          <t>名</t>
        </is>
      </c>
      <c r="E12" s="40" t="inlineStr">
        <is>
          <t>7名中</t>
        </is>
      </c>
    </row>
    <row r="13" ht="22" customHeight="1">
      <c r="B13" s="38" t="inlineStr">
        <is>
          <t>転換率（→6万円講座）</t>
        </is>
      </c>
      <c r="C13" s="48" t="inlineStr">
        <is>
          <t>1/3</t>
        </is>
      </c>
      <c r="D13" s="40" t="inlineStr"/>
      <c r="E13" s="40" t="inlineStr"/>
    </row>
    <row r="14" ht="22" customHeight="1">
      <c r="B14" s="38" t="inlineStr">
        <is>
          <t>転換期待数（人）</t>
        </is>
      </c>
      <c r="C14" s="48" t="n">
        <v>0.67</v>
      </c>
      <c r="D14" s="40" t="inlineStr">
        <is>
          <t>名</t>
        </is>
      </c>
      <c r="E14" s="40" t="inlineStr"/>
    </row>
    <row r="15" ht="22" customHeight="1">
      <c r="B15" s="45" t="inlineStr">
        <is>
          <t>転換 売上期待値</t>
        </is>
      </c>
      <c r="C15" s="46" t="n">
        <v>40000</v>
      </c>
      <c r="D15" s="47" t="inlineStr">
        <is>
          <t>円</t>
        </is>
      </c>
      <c r="E15" s="47">
        <f>0.67×60,000</f>
        <v/>
      </c>
    </row>
    <row r="16" ht="8" customHeight="1">
      <c r="B16" s="41" t="n"/>
      <c r="C16" s="79" t="n"/>
      <c r="D16" s="79" t="n"/>
      <c r="E16" s="80" t="n"/>
    </row>
    <row r="17" ht="22" customHeight="1">
      <c r="B17" s="45" t="inlineStr">
        <is>
          <t>1回あたり 本部 総経済価値</t>
        </is>
      </c>
      <c r="C17" s="46" t="n">
        <v>44000</v>
      </c>
      <c r="D17" s="47" t="inlineStr">
        <is>
          <t>円</t>
        </is>
      </c>
      <c r="E17" s="47" t="inlineStr">
        <is>
          <t>直接4,000+転換40,000</t>
        </is>
      </c>
    </row>
    <row r="20" ht="24" customHeight="1">
      <c r="B20" s="37" t="inlineStr">
        <is>
          <t>■ 月次スケール別シミュレーション</t>
        </is>
      </c>
      <c r="C20" s="77" t="n"/>
      <c r="D20" s="77" t="n"/>
      <c r="E20" s="78" t="n"/>
    </row>
    <row r="21" ht="22" customHeight="1">
      <c r="B21" s="2" t="inlineStr">
        <is>
          <t>開催数/月</t>
        </is>
      </c>
      <c r="C21" s="2" t="inlineStr">
        <is>
          <t>直接参加費収入</t>
        </is>
      </c>
      <c r="D21" s="2" t="inlineStr">
        <is>
          <t>WS費用（会場+講師）</t>
        </is>
      </c>
      <c r="E21" s="2" t="inlineStr">
        <is>
          <t>転換売上期待値</t>
        </is>
      </c>
    </row>
    <row r="22" ht="22" customHeight="1">
      <c r="B22" s="49" t="inlineStr">
        <is>
          <t>20回/月  (10拠点×2回)</t>
        </is>
      </c>
      <c r="C22" s="50" t="n">
        <v>420000</v>
      </c>
      <c r="D22" s="43" t="n">
        <v>-340000</v>
      </c>
      <c r="E22" s="46" t="n">
        <v>800000</v>
      </c>
    </row>
    <row r="23" ht="22" customHeight="1">
      <c r="B23" s="49" t="inlineStr">
        <is>
          <t>30回/月  (15拠点×2回)</t>
        </is>
      </c>
      <c r="C23" s="50" t="n">
        <v>630000</v>
      </c>
      <c r="D23" s="43" t="n">
        <v>-510000</v>
      </c>
      <c r="E23" s="46" t="n">
        <v>1200000</v>
      </c>
    </row>
    <row r="24" ht="22" customHeight="1">
      <c r="B24" s="49" t="inlineStr">
        <is>
          <t>40回/月  (20拠点×2回)</t>
        </is>
      </c>
      <c r="C24" s="50" t="n">
        <v>840000</v>
      </c>
      <c r="D24" s="43" t="n">
        <v>-680000</v>
      </c>
      <c r="E24" s="46" t="n">
        <v>1600000</v>
      </c>
    </row>
    <row r="25" ht="22" customHeight="1">
      <c r="B25" s="49" t="inlineStr">
        <is>
          <t>50回/月  (25拠点×2回)</t>
        </is>
      </c>
      <c r="C25" s="50" t="n">
        <v>1050000</v>
      </c>
      <c r="D25" s="43" t="n">
        <v>-850000</v>
      </c>
      <c r="E25" s="46" t="n">
        <v>2000000</v>
      </c>
    </row>
    <row r="26" ht="22" customHeight="1">
      <c r="B26" s="49" t="inlineStr">
        <is>
          <t>70回/月  (35拠点×2回)</t>
        </is>
      </c>
      <c r="C26" s="50" t="n">
        <v>1470000</v>
      </c>
      <c r="D26" s="43" t="n">
        <v>-1190000</v>
      </c>
      <c r="E26" s="46" t="n">
        <v>2800000</v>
      </c>
    </row>
    <row r="27" ht="22" customHeight="1">
      <c r="B27" s="49" t="inlineStr">
        <is>
          <t>100回/月  (50拠点×2回)</t>
        </is>
      </c>
      <c r="C27" s="50" t="n">
        <v>2100000</v>
      </c>
      <c r="D27" s="43" t="n">
        <v>-1700000</v>
      </c>
      <c r="E27" s="46" t="n">
        <v>4000000</v>
      </c>
    </row>
    <row r="29" ht="24" customHeight="1">
      <c r="B29" s="37" t="inlineStr">
        <is>
          <t>■ WS展開スケジュール（R9）</t>
        </is>
      </c>
      <c r="C29" s="77" t="n"/>
      <c r="D29" s="77" t="n"/>
      <c r="E29" s="78" t="n"/>
    </row>
    <row r="30" ht="22" customHeight="1">
      <c r="B30" s="2" t="inlineStr">
        <is>
          <t>月</t>
        </is>
      </c>
      <c r="C30" s="2" t="inlineStr">
        <is>
          <t>拠点数</t>
        </is>
      </c>
      <c r="D30" s="2" t="inlineStr">
        <is>
          <t>開催回数/月</t>
        </is>
      </c>
      <c r="E30" s="2" t="inlineStr">
        <is>
          <t>転換売上期待</t>
        </is>
      </c>
    </row>
    <row r="31" ht="20" customHeight="1">
      <c r="B31" s="51" t="inlineStr">
        <is>
          <t>2月</t>
        </is>
      </c>
      <c r="C31" s="52" t="n">
        <v>0</v>
      </c>
      <c r="D31" s="53" t="n">
        <v>0</v>
      </c>
      <c r="E31" s="54" t="n">
        <v>0</v>
      </c>
    </row>
    <row r="32" ht="20" customHeight="1">
      <c r="B32" s="51" t="inlineStr">
        <is>
          <t>3月</t>
        </is>
      </c>
      <c r="C32" s="52" t="n">
        <v>0</v>
      </c>
      <c r="D32" s="53" t="n">
        <v>0</v>
      </c>
      <c r="E32" s="54" t="n">
        <v>0</v>
      </c>
    </row>
    <row r="33" ht="20" customHeight="1">
      <c r="B33" s="51" t="inlineStr">
        <is>
          <t>4月</t>
        </is>
      </c>
      <c r="C33" s="52" t="n">
        <v>0</v>
      </c>
      <c r="D33" s="53" t="n">
        <v>0</v>
      </c>
      <c r="E33" s="54" t="n">
        <v>0</v>
      </c>
    </row>
    <row r="34" ht="20" customHeight="1">
      <c r="B34" s="51" t="inlineStr">
        <is>
          <t>5月</t>
        </is>
      </c>
      <c r="C34" s="52" t="n">
        <v>0</v>
      </c>
      <c r="D34" s="53" t="n">
        <v>0</v>
      </c>
      <c r="E34" s="54" t="n">
        <v>0</v>
      </c>
    </row>
    <row r="35" ht="20" customHeight="1">
      <c r="B35" s="51" t="inlineStr">
        <is>
          <t>6月</t>
        </is>
      </c>
      <c r="C35" s="52" t="n">
        <v>0</v>
      </c>
      <c r="D35" s="53" t="n">
        <v>0</v>
      </c>
      <c r="E35" s="54" t="n">
        <v>0</v>
      </c>
    </row>
    <row r="36" ht="20" customHeight="1">
      <c r="B36" s="38" t="inlineStr">
        <is>
          <t>7月</t>
        </is>
      </c>
      <c r="C36" s="55" t="n">
        <v>10</v>
      </c>
      <c r="D36" s="56" t="n">
        <v>20</v>
      </c>
      <c r="E36" s="57" t="n">
        <v>800000</v>
      </c>
    </row>
    <row r="37" ht="20" customHeight="1">
      <c r="B37" s="38" t="inlineStr">
        <is>
          <t>8月</t>
        </is>
      </c>
      <c r="C37" s="55" t="n">
        <v>10</v>
      </c>
      <c r="D37" s="56" t="n">
        <v>20</v>
      </c>
      <c r="E37" s="57" t="n">
        <v>800000</v>
      </c>
    </row>
    <row r="38" ht="20" customHeight="1">
      <c r="B38" s="38" t="inlineStr">
        <is>
          <t>9月</t>
        </is>
      </c>
      <c r="C38" s="55" t="n">
        <v>15</v>
      </c>
      <c r="D38" s="56" t="n">
        <v>30</v>
      </c>
      <c r="E38" s="57" t="n">
        <v>1200000</v>
      </c>
    </row>
    <row r="39" ht="20" customHeight="1">
      <c r="B39" s="38" t="inlineStr">
        <is>
          <t>10月</t>
        </is>
      </c>
      <c r="C39" s="55" t="n">
        <v>15</v>
      </c>
      <c r="D39" s="56" t="n">
        <v>30</v>
      </c>
      <c r="E39" s="57" t="n">
        <v>1200000</v>
      </c>
    </row>
    <row r="40" ht="20" customHeight="1">
      <c r="B40" s="38" t="inlineStr">
        <is>
          <t>11月</t>
        </is>
      </c>
      <c r="C40" s="55" t="n">
        <v>20</v>
      </c>
      <c r="D40" s="56" t="n">
        <v>40</v>
      </c>
      <c r="E40" s="57" t="n">
        <v>1600000</v>
      </c>
    </row>
    <row r="41" ht="20" customHeight="1">
      <c r="B41" s="38" t="inlineStr">
        <is>
          <t>12月</t>
        </is>
      </c>
      <c r="C41" s="55" t="n">
        <v>20</v>
      </c>
      <c r="D41" s="56" t="n">
        <v>40</v>
      </c>
      <c r="E41" s="57" t="n">
        <v>1600000</v>
      </c>
    </row>
    <row r="42" ht="20" customHeight="1">
      <c r="B42" s="38" t="inlineStr">
        <is>
          <t>1月</t>
        </is>
      </c>
      <c r="C42" s="55" t="n">
        <v>25</v>
      </c>
      <c r="D42" s="56" t="n">
        <v>50</v>
      </c>
      <c r="E42" s="57" t="n">
        <v>2000000</v>
      </c>
    </row>
  </sheetData>
  <mergeCells count="7">
    <mergeCell ref="B1:E1"/>
    <mergeCell ref="B16:E16"/>
    <mergeCell ref="B29:E29"/>
    <mergeCell ref="B7:E7"/>
    <mergeCell ref="B11:E11"/>
    <mergeCell ref="B3:E3"/>
    <mergeCell ref="B20:E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2" customWidth="1" min="7" max="7"/>
  </cols>
  <sheetData>
    <row r="1" ht="30" customHeight="1">
      <c r="B1" s="58" t="inlineStr">
        <is>
          <t>3ヵ年統合損益計算書（事業部別）　R9〜R11</t>
        </is>
      </c>
      <c r="C1" s="77" t="n"/>
      <c r="D1" s="77" t="n"/>
      <c r="E1" s="77" t="n"/>
      <c r="F1" s="78" t="n"/>
    </row>
    <row r="2" ht="36" customHeight="1">
      <c r="B2" s="2" t="inlineStr">
        <is>
          <t>勘定科目</t>
        </is>
      </c>
      <c r="C2" s="2" t="inlineStr">
        <is>
          <t>R8実績（参考）</t>
        </is>
      </c>
      <c r="D2" s="3" t="inlineStr">
        <is>
          <t>R9計画（1年目）</t>
        </is>
      </c>
      <c r="E2" s="3" t="inlineStr">
        <is>
          <t>R10計画（2年目）</t>
        </is>
      </c>
      <c r="F2" s="3" t="inlineStr">
        <is>
          <t>R11計画（3年目）</t>
        </is>
      </c>
    </row>
    <row r="3" ht="20" customHeight="1">
      <c r="B3" s="59" t="inlineStr">
        <is>
          <t>【粗売上高（外部パートナー含む）】</t>
        </is>
      </c>
      <c r="C3" s="5" t="n"/>
      <c r="D3" s="5" t="n"/>
      <c r="E3" s="5" t="n"/>
      <c r="F3" s="5" t="n"/>
    </row>
    <row r="4" ht="20" customHeight="1">
      <c r="B4" s="60" t="inlineStr">
        <is>
          <t xml:space="preserve">　事業部①：ゼンタングル</t>
        </is>
      </c>
      <c r="C4" s="8" t="n">
        <v>75000000</v>
      </c>
      <c r="D4" s="61" t="n">
        <v>49783995</v>
      </c>
      <c r="E4" s="61" t="n">
        <v>65000000</v>
      </c>
      <c r="F4" s="61" t="n">
        <v>82000000</v>
      </c>
    </row>
    <row r="5" ht="20" customHeight="1">
      <c r="B5" s="60" t="inlineStr">
        <is>
          <t xml:space="preserve">　事業部②：アドPKG（粗）</t>
        </is>
      </c>
      <c r="C5" s="8" t="n">
        <v>40515670</v>
      </c>
      <c r="D5" s="61" t="n">
        <v>47740000</v>
      </c>
      <c r="E5" s="61" t="n">
        <v>55000000</v>
      </c>
      <c r="F5" s="61" t="n">
        <v>68000000</v>
      </c>
    </row>
    <row r="6" ht="20" customHeight="1">
      <c r="B6" s="62" t="inlineStr">
        <is>
          <t>粗売上合計</t>
        </is>
      </c>
      <c r="C6" s="16" t="n">
        <v>125515670</v>
      </c>
      <c r="D6" s="16" t="n">
        <v>97523995</v>
      </c>
      <c r="E6" s="16" t="n">
        <v>120000000</v>
      </c>
      <c r="F6" s="16" t="n">
        <v>150000000</v>
      </c>
    </row>
    <row r="7" ht="8" customHeight="1">
      <c r="B7" s="60" t="inlineStr"/>
      <c r="C7" s="18" t="inlineStr"/>
      <c r="D7" s="18" t="inlineStr"/>
      <c r="E7" s="18" t="inlineStr"/>
      <c r="F7" s="18" t="inlineStr"/>
    </row>
    <row r="8" ht="20" customHeight="1">
      <c r="B8" s="59" t="inlineStr">
        <is>
          <t>【タングルシード 営業収益（実質）】</t>
        </is>
      </c>
      <c r="C8" s="5" t="n"/>
      <c r="D8" s="5" t="n"/>
      <c r="E8" s="5" t="n"/>
      <c r="F8" s="5" t="n"/>
    </row>
    <row r="9" ht="20" customHeight="1">
      <c r="B9" s="60" t="inlineStr">
        <is>
          <t xml:space="preserve">　事業部①：講座売上</t>
        </is>
      </c>
      <c r="C9" s="8" t="n">
        <v>75000000</v>
      </c>
      <c r="D9" s="61" t="n">
        <v>49783995</v>
      </c>
      <c r="E9" s="61" t="n">
        <v>65000000</v>
      </c>
      <c r="F9" s="61" t="n">
        <v>82000000</v>
      </c>
    </row>
    <row r="10" ht="20" customHeight="1">
      <c r="B10" s="63" t="inlineStr">
        <is>
          <t xml:space="preserve">　事業部②：手残り38%</t>
        </is>
      </c>
      <c r="C10" s="21" t="n">
        <v>15395954</v>
      </c>
      <c r="D10" s="21" t="n">
        <v>18141200</v>
      </c>
      <c r="E10" s="21" t="n">
        <v>20900000</v>
      </c>
      <c r="F10" s="21" t="n">
        <v>25840000</v>
      </c>
    </row>
    <row r="11" ht="20" customHeight="1">
      <c r="B11" s="62" t="inlineStr">
        <is>
          <t>営業収益合計（TS基準）</t>
        </is>
      </c>
      <c r="C11" s="16" t="n">
        <v>90415670</v>
      </c>
      <c r="D11" s="16" t="n">
        <v>67925195</v>
      </c>
      <c r="E11" s="16" t="n">
        <v>85900000</v>
      </c>
      <c r="F11" s="16" t="n">
        <v>107840000</v>
      </c>
    </row>
    <row r="12" ht="8" customHeight="1">
      <c r="B12" s="60" t="inlineStr"/>
      <c r="C12" s="18" t="inlineStr"/>
      <c r="D12" s="18" t="inlineStr"/>
      <c r="E12" s="18" t="inlineStr"/>
      <c r="F12" s="18" t="inlineStr"/>
    </row>
    <row r="13" ht="20" customHeight="1">
      <c r="B13" s="60" t="inlineStr">
        <is>
          <t>売上原価</t>
        </is>
      </c>
      <c r="C13" s="8" t="n">
        <v>6072979</v>
      </c>
      <c r="D13" s="61" t="n">
        <v>2489195</v>
      </c>
      <c r="E13" s="61" t="n">
        <v>2717007</v>
      </c>
      <c r="F13" s="61" t="n">
        <v>4313600</v>
      </c>
    </row>
    <row r="14" ht="20" customHeight="1">
      <c r="B14" s="64" t="inlineStr">
        <is>
          <t>売上総利益（TS基準）</t>
        </is>
      </c>
      <c r="C14" s="23" t="n">
        <v>84342691</v>
      </c>
      <c r="D14" s="23" t="n">
        <v>65436000</v>
      </c>
      <c r="E14" s="23" t="n">
        <v>65208187</v>
      </c>
      <c r="F14" s="23" t="n">
        <v>103526400</v>
      </c>
    </row>
    <row r="15" ht="20" customHeight="1">
      <c r="B15" s="65" t="inlineStr">
        <is>
          <t xml:space="preserve">　粗利率</t>
        </is>
      </c>
      <c r="C15" s="31" t="inlineStr">
        <is>
          <t>93.3%</t>
        </is>
      </c>
      <c r="D15" s="31" t="inlineStr">
        <is>
          <t>96.3%</t>
        </is>
      </c>
      <c r="E15" s="31" t="inlineStr">
        <is>
          <t>96%</t>
        </is>
      </c>
      <c r="F15" s="31" t="inlineStr">
        <is>
          <t>96%</t>
        </is>
      </c>
    </row>
    <row r="16" ht="8" customHeight="1">
      <c r="B16" s="60" t="inlineStr"/>
      <c r="C16" s="18" t="inlineStr"/>
      <c r="D16" s="18" t="inlineStr"/>
      <c r="E16" s="18" t="inlineStr"/>
      <c r="F16" s="18" t="inlineStr"/>
    </row>
    <row r="17" ht="20" customHeight="1">
      <c r="B17" s="59" t="inlineStr">
        <is>
          <t>【販管費（科目別）】</t>
        </is>
      </c>
      <c r="C17" s="5" t="n"/>
      <c r="D17" s="5" t="n"/>
      <c r="E17" s="5" t="n"/>
      <c r="F17" s="5" t="n"/>
    </row>
    <row r="18" ht="20" customHeight="1">
      <c r="B18" s="60" t="inlineStr">
        <is>
          <t xml:space="preserve">　広告費①（ゼンタングル）</t>
        </is>
      </c>
      <c r="C18" s="8" t="n">
        <v>31400000</v>
      </c>
      <c r="D18" s="61" t="n">
        <v>18500000</v>
      </c>
      <c r="E18" s="61" t="n">
        <v>18000000</v>
      </c>
      <c r="F18" s="61" t="n">
        <v>12000000</v>
      </c>
    </row>
    <row r="19" ht="20" customHeight="1">
      <c r="B19" s="60" t="inlineStr">
        <is>
          <t xml:space="preserve">　　└ 広告運用手数料①</t>
        </is>
      </c>
      <c r="C19" s="8" t="n">
        <v>0</v>
      </c>
      <c r="D19" s="61" t="n">
        <v>4070000</v>
      </c>
      <c r="E19" s="61" t="n">
        <v>3960000</v>
      </c>
      <c r="F19" s="61" t="n">
        <v>2640000</v>
      </c>
    </row>
    <row r="20" ht="20" customHeight="1">
      <c r="B20" s="60" t="inlineStr">
        <is>
          <t xml:space="preserve">　広告費②（LISAPKG）</t>
        </is>
      </c>
      <c r="C20" s="8" t="n">
        <v>0</v>
      </c>
      <c r="D20" s="61" t="n">
        <v>4000000</v>
      </c>
      <c r="E20" s="61" t="n">
        <v>3000000</v>
      </c>
      <c r="F20" s="61" t="n">
        <v>2500000</v>
      </c>
    </row>
    <row r="21" ht="20" customHeight="1">
      <c r="B21" s="60" t="inlineStr">
        <is>
          <t xml:space="preserve">　　└ 広告運用手数料②</t>
        </is>
      </c>
      <c r="C21" s="8" t="n">
        <v>0</v>
      </c>
      <c r="D21" s="61" t="n">
        <v>880000</v>
      </c>
      <c r="E21" s="61" t="n">
        <v>660000</v>
      </c>
      <c r="F21" s="61" t="n">
        <v>550000</v>
      </c>
    </row>
    <row r="22" ht="20" customHeight="1">
      <c r="B22" s="60" t="inlineStr">
        <is>
          <t xml:space="preserve">　WS会場費（7,000円/回）</t>
        </is>
      </c>
      <c r="C22" s="8" t="n">
        <v>0</v>
      </c>
      <c r="D22" s="61" t="n">
        <v>1610000</v>
      </c>
      <c r="E22" s="61" t="n">
        <v>4025000</v>
      </c>
      <c r="F22" s="61" t="n">
        <v>8050000</v>
      </c>
    </row>
    <row r="23" ht="20" customHeight="1">
      <c r="B23" s="60" t="inlineStr">
        <is>
          <t xml:space="preserve">　WS講師報酬（10,000円/回）</t>
        </is>
      </c>
      <c r="C23" s="8" t="n">
        <v>0</v>
      </c>
      <c r="D23" s="61" t="n">
        <v>2300000</v>
      </c>
      <c r="E23" s="61" t="n">
        <v>5750000</v>
      </c>
      <c r="F23" s="61" t="n">
        <v>11500000</v>
      </c>
    </row>
    <row r="24" ht="20" customHeight="1">
      <c r="B24" s="60" t="inlineStr">
        <is>
          <t xml:space="preserve">　決済手数料 Stripe</t>
        </is>
      </c>
      <c r="C24" s="8" t="n">
        <v>17500000</v>
      </c>
      <c r="D24" s="61" t="n">
        <v>2240275</v>
      </c>
      <c r="E24" s="61" t="n">
        <v>1630204</v>
      </c>
      <c r="F24" s="61" t="n">
        <v>2156800</v>
      </c>
    </row>
    <row r="25" ht="20" customHeight="1">
      <c r="B25" s="60" t="inlineStr">
        <is>
          <t xml:space="preserve">　セミナー・イベント費②</t>
        </is>
      </c>
      <c r="C25" s="8" t="n">
        <v>0</v>
      </c>
      <c r="D25" s="61" t="n">
        <v>1000000</v>
      </c>
      <c r="E25" s="61" t="n">
        <v>1000000</v>
      </c>
      <c r="F25" s="61" t="n">
        <v>1000000</v>
      </c>
    </row>
    <row r="26" ht="20" customHeight="1">
      <c r="B26" s="60" t="inlineStr">
        <is>
          <t xml:space="preserve">　役員報酬</t>
        </is>
      </c>
      <c r="C26" s="8" t="n">
        <v>7200000</v>
      </c>
      <c r="D26" s="61" t="n">
        <v>7200000</v>
      </c>
      <c r="E26" s="61" t="n">
        <v>7200000</v>
      </c>
      <c r="F26" s="61" t="n">
        <v>7200000</v>
      </c>
    </row>
    <row r="27" ht="20" customHeight="1">
      <c r="B27" s="60" t="inlineStr">
        <is>
          <t xml:space="preserve">　その他販管費</t>
        </is>
      </c>
      <c r="C27" s="8" t="n">
        <v>43208332</v>
      </c>
      <c r="D27" s="61" t="n">
        <v>9396000</v>
      </c>
      <c r="E27" s="61" t="n">
        <v>10000000</v>
      </c>
      <c r="F27" s="61" t="n">
        <v>12000000</v>
      </c>
    </row>
    <row r="28" ht="20" customHeight="1">
      <c r="B28" s="64" t="inlineStr">
        <is>
          <t>販管費合計</t>
        </is>
      </c>
      <c r="C28" s="23" t="n">
        <v>99208332</v>
      </c>
      <c r="D28" s="23" t="n">
        <v>51196275</v>
      </c>
      <c r="E28" s="23" t="n">
        <v>39933094</v>
      </c>
      <c r="F28" s="23" t="n">
        <v>33277578</v>
      </c>
    </row>
    <row r="29" ht="8" customHeight="1">
      <c r="B29" s="60" t="inlineStr"/>
      <c r="C29" s="18" t="inlineStr"/>
      <c r="D29" s="18" t="inlineStr"/>
      <c r="E29" s="18" t="inlineStr"/>
      <c r="F29" s="18" t="inlineStr"/>
    </row>
    <row r="30" ht="20" customHeight="1">
      <c r="B30" s="66" t="inlineStr">
        <is>
          <t>営業利益</t>
        </is>
      </c>
      <c r="C30" s="25" t="n">
        <v>5577374</v>
      </c>
      <c r="D30" s="25" t="n">
        <v>14239725</v>
      </c>
      <c r="E30" s="25" t="n">
        <v>22885465</v>
      </c>
      <c r="F30" s="25" t="n">
        <v>70248821</v>
      </c>
    </row>
    <row r="31" ht="20" customHeight="1">
      <c r="B31" s="65" t="inlineStr">
        <is>
          <t xml:space="preserve">　営業利益率</t>
        </is>
      </c>
      <c r="C31" s="31" t="inlineStr">
        <is>
          <t>4.8%</t>
        </is>
      </c>
      <c r="D31" s="31" t="inlineStr">
        <is>
          <t>21.0%</t>
        </is>
      </c>
      <c r="E31" s="31" t="inlineStr">
        <is>
          <t>─</t>
        </is>
      </c>
      <c r="F31" s="31" t="inlineStr">
        <is>
          <t>─</t>
        </is>
      </c>
    </row>
    <row r="32" ht="8" customHeight="1">
      <c r="B32" s="60" t="inlineStr"/>
      <c r="C32" s="18" t="inlineStr"/>
      <c r="D32" s="18" t="inlineStr"/>
      <c r="E32" s="18" t="inlineStr"/>
      <c r="F32" s="18" t="inlineStr"/>
    </row>
    <row r="33" ht="20" customHeight="1">
      <c r="B33" s="66" t="inlineStr">
        <is>
          <t>当期純利益（暫定）</t>
        </is>
      </c>
      <c r="C33" s="25" t="n">
        <v>5556191</v>
      </c>
      <c r="D33" s="25" t="n">
        <v>11106985</v>
      </c>
      <c r="E33" s="67" t="n"/>
      <c r="F33" s="67" t="n"/>
    </row>
    <row r="34" ht="8" customHeight="1">
      <c r="B34" s="60" t="inlineStr"/>
      <c r="C34" s="18" t="inlineStr"/>
      <c r="D34" s="18" t="inlineStr"/>
      <c r="E34" s="18" t="inlineStr"/>
      <c r="F34" s="18" t="inlineStr"/>
    </row>
    <row r="35" ht="20" customHeight="1">
      <c r="B35" s="59" t="inlineStr">
        <is>
          <t>【財務参考】</t>
        </is>
      </c>
      <c r="C35" s="5" t="n"/>
      <c r="D35" s="5" t="n"/>
      <c r="E35" s="5" t="n"/>
      <c r="F35" s="5" t="n"/>
    </row>
    <row r="36" ht="20" customHeight="1">
      <c r="B36" s="60" t="inlineStr">
        <is>
          <t>借入金残高（期末）</t>
        </is>
      </c>
      <c r="C36" s="8" t="n">
        <v>9000000</v>
      </c>
      <c r="D36" s="61" t="n">
        <v>37500000</v>
      </c>
      <c r="E36" s="61" t="n">
        <v>35000000</v>
      </c>
      <c r="F36" s="61" t="n">
        <v>32500000</v>
      </c>
    </row>
    <row r="37" ht="20" customHeight="1">
      <c r="B37" s="68" t="inlineStr">
        <is>
          <t xml:space="preserve">　うち新規借入30M</t>
        </is>
      </c>
      <c r="C37" s="11" t="n">
        <v>0</v>
      </c>
      <c r="D37" s="11" t="n">
        <v>28500000</v>
      </c>
      <c r="E37" s="11" t="n">
        <v>26000000</v>
      </c>
      <c r="F37" s="11" t="n">
        <v>23500000</v>
      </c>
    </row>
    <row r="38" ht="20" customHeight="1">
      <c r="B38" s="60" t="inlineStr">
        <is>
          <t>現金預金（期末）</t>
        </is>
      </c>
      <c r="C38" s="8" t="n">
        <v>19271065</v>
      </c>
      <c r="D38" s="61" t="n">
        <v>30000000</v>
      </c>
      <c r="E38" s="61" t="n">
        <v>50000000</v>
      </c>
      <c r="F38" s="61" t="n">
        <v>75000000</v>
      </c>
    </row>
    <row r="39" ht="20" customHeight="1">
      <c r="B39" s="65" t="inlineStr">
        <is>
          <t>返済余力（年返済3,450千円）</t>
        </is>
      </c>
      <c r="C39" s="31" t="inlineStr">
        <is>
          <t>─</t>
        </is>
      </c>
      <c r="D39" s="31" t="inlineStr">
        <is>
          <t>4.1x</t>
        </is>
      </c>
      <c r="E39" s="31" t="inlineStr">
        <is>
          <t>─</t>
        </is>
      </c>
      <c r="F39" s="31" t="inlineStr">
        <is>
          <t>─</t>
        </is>
      </c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30" customHeight="1">
      <c r="B1" s="58" t="inlineStr">
        <is>
          <t>広告費×ROAS 収益計算モデル &amp; LTV</t>
        </is>
      </c>
      <c r="C1" s="77" t="n"/>
      <c r="D1" s="77" t="n"/>
      <c r="E1" s="78" t="n"/>
    </row>
    <row r="3" ht="24" customHeight="1">
      <c r="B3" s="37" t="inlineStr">
        <is>
          <t>■ 事業部①：ゼンタングル（6万円）広告モデル</t>
        </is>
      </c>
      <c r="C3" s="77" t="n"/>
      <c r="D3" s="77" t="n"/>
      <c r="E3" s="78" t="n"/>
    </row>
    <row r="4" ht="22" customHeight="1">
      <c r="B4" s="2" t="inlineStr">
        <is>
          <t>項目</t>
        </is>
      </c>
      <c r="C4" s="2" t="inlineStr">
        <is>
          <t>保守（現状）</t>
        </is>
      </c>
      <c r="D4" s="2" t="inlineStr">
        <is>
          <t>基本目標</t>
        </is>
      </c>
      <c r="E4" s="2" t="inlineStr">
        <is>
          <t>改善後</t>
        </is>
      </c>
    </row>
    <row r="5" ht="22" customHeight="1">
      <c r="B5" s="38" t="inlineStr">
        <is>
          <t>ROAS（広告費対売上）</t>
        </is>
      </c>
      <c r="C5" s="69" t="inlineStr">
        <is>
          <t>150%</t>
        </is>
      </c>
      <c r="D5" s="69" t="inlineStr">
        <is>
          <t>180%</t>
        </is>
      </c>
      <c r="E5" s="70" t="inlineStr">
        <is>
          <t>250%</t>
        </is>
      </c>
    </row>
    <row r="6" ht="22" customHeight="1">
      <c r="B6" s="38" t="inlineStr">
        <is>
          <t>月次広告費</t>
        </is>
      </c>
      <c r="C6" s="69" t="inlineStr">
        <is>
          <t>1,500,000</t>
        </is>
      </c>
      <c r="D6" s="69" t="inlineStr">
        <is>
          <t>1,500,000</t>
        </is>
      </c>
      <c r="E6" s="70" t="inlineStr">
        <is>
          <t>1,200,000</t>
        </is>
      </c>
    </row>
    <row r="7" ht="22" customHeight="1">
      <c r="B7" s="38" t="inlineStr">
        <is>
          <t>広告運用手数料（+22%）</t>
        </is>
      </c>
      <c r="C7" s="69" t="inlineStr">
        <is>
          <t>330,000</t>
        </is>
      </c>
      <c r="D7" s="69" t="inlineStr">
        <is>
          <t>330,000</t>
        </is>
      </c>
      <c r="E7" s="70" t="inlineStr">
        <is>
          <t>264,000</t>
        </is>
      </c>
    </row>
    <row r="8" ht="22" customHeight="1">
      <c r="B8" s="38" t="inlineStr">
        <is>
          <t>月次課税後広告費合計</t>
        </is>
      </c>
      <c r="C8" s="69" t="inlineStr">
        <is>
          <t>1,830,000</t>
        </is>
      </c>
      <c r="D8" s="69" t="inlineStr">
        <is>
          <t>1,830,000</t>
        </is>
      </c>
      <c r="E8" s="70" t="inlineStr">
        <is>
          <t>1,464,000</t>
        </is>
      </c>
    </row>
    <row r="9" ht="22" customHeight="1">
      <c r="B9" s="38" t="inlineStr">
        <is>
          <t>月次 課税売上（ROAS×広告費）</t>
        </is>
      </c>
      <c r="C9" s="69" t="inlineStr">
        <is>
          <t>2,250,000</t>
        </is>
      </c>
      <c r="D9" s="69" t="inlineStr">
        <is>
          <t>2,700,000</t>
        </is>
      </c>
      <c r="E9" s="70" t="inlineStr">
        <is>
          <t>3,000,000</t>
        </is>
      </c>
    </row>
    <row r="10" ht="22" customHeight="1">
      <c r="B10" s="38" t="inlineStr">
        <is>
          <t>月次新規受講者数（÷6万）</t>
        </is>
      </c>
      <c r="C10" s="69" t="inlineStr">
        <is>
          <t>37名</t>
        </is>
      </c>
      <c r="D10" s="69" t="inlineStr">
        <is>
          <t>45名</t>
        </is>
      </c>
      <c r="E10" s="70" t="inlineStr">
        <is>
          <t>50名</t>
        </is>
      </c>
    </row>
    <row r="11" ht="22" customHeight="1">
      <c r="B11" s="38" t="inlineStr">
        <is>
          <t>新規顧客のLTV（61,500円）</t>
        </is>
      </c>
      <c r="C11" s="69" t="inlineStr">
        <is>
          <t>2,275,500</t>
        </is>
      </c>
      <c r="D11" s="69" t="inlineStr">
        <is>
          <t>2,767,500</t>
        </is>
      </c>
      <c r="E11" s="70" t="inlineStr">
        <is>
          <t>3,075,000</t>
        </is>
      </c>
    </row>
    <row r="12" ht="22" customHeight="1">
      <c r="B12" s="38" t="inlineStr">
        <is>
          <t>実質ROAS（LTV換算）</t>
        </is>
      </c>
      <c r="C12" s="69" t="inlineStr">
        <is>
          <t>124%</t>
        </is>
      </c>
      <c r="D12" s="69" t="inlineStr">
        <is>
          <t>151%</t>
        </is>
      </c>
      <c r="E12" s="70" t="inlineStr">
        <is>
          <t>210%</t>
        </is>
      </c>
    </row>
    <row r="14" ht="24" customHeight="1">
      <c r="B14" s="71" t="inlineStr">
        <is>
          <t>■ 事業部②：アドバンスPKG（11万円）広告モデル</t>
        </is>
      </c>
      <c r="C14" s="77" t="n"/>
      <c r="D14" s="77" t="n"/>
      <c r="E14" s="78" t="n"/>
    </row>
    <row r="15" ht="22" customHeight="1">
      <c r="B15" s="72" t="inlineStr">
        <is>
          <t>項目</t>
        </is>
      </c>
      <c r="C15" s="72" t="inlineStr">
        <is>
          <t>目標値</t>
        </is>
      </c>
      <c r="D15" s="72" t="inlineStr">
        <is>
          <t>計算根拠</t>
        </is>
      </c>
      <c r="E15" s="72" t="inlineStr">
        <is>
          <t>備考</t>
        </is>
      </c>
    </row>
    <row r="16" ht="22" customHeight="1">
      <c r="B16" s="73" t="inlineStr">
        <is>
          <t>ROAS目標</t>
        </is>
      </c>
      <c r="C16" s="69" t="inlineStr">
        <is>
          <t>300%</t>
        </is>
      </c>
      <c r="D16" s="69" t="inlineStr">
        <is>
          <t>─</t>
        </is>
      </c>
      <c r="E16" s="74" t="inlineStr">
        <is>
          <t>年払い込みで計算</t>
        </is>
      </c>
    </row>
    <row r="17" ht="22" customHeight="1">
      <c r="B17" s="73" t="inlineStr">
        <is>
          <t>イベント1回 目標新規会員</t>
        </is>
      </c>
      <c r="C17" s="69" t="inlineStr">
        <is>
          <t>30名</t>
        </is>
      </c>
      <c r="D17" s="69" t="inlineStr">
        <is>
          <t>─</t>
        </is>
      </c>
      <c r="E17" s="74" t="inlineStr">
        <is>
          <t>5月・11月年2回</t>
        </is>
      </c>
    </row>
    <row r="18" ht="22" customHeight="1">
      <c r="B18" s="73" t="inlineStr">
        <is>
          <t>イベント1回 会員粗売上</t>
        </is>
      </c>
      <c r="C18" s="69" t="inlineStr">
        <is>
          <t>3,300,000</t>
        </is>
      </c>
      <c r="D18" s="69" t="inlineStr">
        <is>
          <t>30 × 110,000</t>
        </is>
      </c>
      <c r="E18" s="74" t="inlineStr"/>
    </row>
    <row r="19" ht="22" customHeight="1">
      <c r="B19" s="73" t="inlineStr">
        <is>
          <t>广告費（÷ROAS300%）</t>
        </is>
      </c>
      <c r="C19" s="69" t="inlineStr">
        <is>
          <t>1,100,000</t>
        </is>
      </c>
      <c r="D19" s="69" t="inlineStr">
        <is>
          <t>─</t>
        </is>
      </c>
      <c r="E19" s="74" t="inlineStr">
        <is>
          <t>イベント月</t>
        </is>
      </c>
    </row>
    <row r="20" ht="22" customHeight="1">
      <c r="B20" s="73" t="inlineStr">
        <is>
          <t>広告運用手数料（22%）</t>
        </is>
      </c>
      <c r="C20" s="69" t="inlineStr">
        <is>
          <t>242,000</t>
        </is>
      </c>
      <c r="D20" s="69" t="inlineStr">
        <is>
          <t>1,100,000×22%</t>
        </is>
      </c>
      <c r="E20" s="74" t="inlineStr"/>
    </row>
    <row r="21" ht="22" customHeight="1">
      <c r="B21" s="73" t="inlineStr">
        <is>
          <t>イベント開催費</t>
        </is>
      </c>
      <c r="C21" s="69" t="inlineStr">
        <is>
          <t>500,000</t>
        </is>
      </c>
      <c r="D21" s="69" t="inlineStr">
        <is>
          <t>─</t>
        </is>
      </c>
      <c r="E21" s="74" t="inlineStr">
        <is>
          <t>会場・運営</t>
        </is>
      </c>
    </row>
    <row r="22" ht="22" customHeight="1">
      <c r="B22" s="73" t="inlineStr">
        <is>
          <t>イベント月 総費用</t>
        </is>
      </c>
      <c r="C22" s="69" t="inlineStr">
        <is>
          <t>1,842,000</t>
        </is>
      </c>
      <c r="D22" s="69" t="inlineStr">
        <is>
          <t>─</t>
        </is>
      </c>
      <c r="E22" s="74" t="inlineStr"/>
    </row>
    <row r="23" ht="22" customHeight="1">
      <c r="B23" s="73" t="inlineStr">
        <is>
          <t>TangleSeed手残り（38%）</t>
        </is>
      </c>
      <c r="C23" s="69" t="inlineStr">
        <is>
          <t>1,254,000</t>
        </is>
      </c>
      <c r="D23" s="69" t="inlineStr">
        <is>
          <t>3,300,000×38%</t>
        </is>
      </c>
      <c r="E23" s="74" t="inlineStr"/>
    </row>
    <row r="24" ht="22" customHeight="1">
      <c r="B24" s="73" t="inlineStr">
        <is>
          <t>イベント月 利益</t>
        </is>
      </c>
      <c r="C24" s="69" t="inlineStr">
        <is>
          <t>▲588,000 → 翌月以降で回収</t>
        </is>
      </c>
      <c r="D24" s="69" t="inlineStr">
        <is>
          <t>─</t>
        </is>
      </c>
      <c r="E24" s="74" t="inlineStr">
        <is>
          <t>会員は翌月から毎月収益化</t>
        </is>
      </c>
    </row>
    <row r="26" ht="24" customHeight="1">
      <c r="B26" s="37" t="inlineStr">
        <is>
          <t>■ LTV計算（事業部①：ゼンタングル）</t>
        </is>
      </c>
      <c r="C26" s="77" t="n"/>
      <c r="D26" s="77" t="n"/>
      <c r="E26" s="78" t="n"/>
    </row>
    <row r="27" ht="22" customHeight="1">
      <c r="B27" s="38" t="inlineStr">
        <is>
          <t>基本講座単価</t>
        </is>
      </c>
      <c r="C27" s="75" t="inlineStr">
        <is>
          <t>60,000円</t>
        </is>
      </c>
      <c r="D27" s="74" t="inlineStr"/>
    </row>
    <row r="28" ht="22" customHeight="1">
      <c r="B28" s="38" t="inlineStr">
        <is>
          <t>追加商品数（現在）</t>
        </is>
      </c>
      <c r="C28" s="75" t="inlineStr">
        <is>
          <t>5本</t>
        </is>
      </c>
      <c r="D28" s="74" t="inlineStr"/>
    </row>
    <row r="29" ht="22" customHeight="1">
      <c r="B29" s="38" t="inlineStr">
        <is>
          <t>追加商品 購入率（1商品あたり）</t>
        </is>
      </c>
      <c r="C29" s="75" t="inlineStr">
        <is>
          <t>1%</t>
        </is>
      </c>
      <c r="D29" s="74" t="inlineStr">
        <is>
          <t>既存顧客の1%が各商品を購入</t>
        </is>
      </c>
    </row>
    <row r="30" ht="22" customHeight="1">
      <c r="B30" s="38" t="inlineStr">
        <is>
          <t>追加商品 平均単価</t>
        </is>
      </c>
      <c r="C30" s="75" t="inlineStr">
        <is>
          <t>30,000円</t>
        </is>
      </c>
      <c r="D30" s="74" t="inlineStr"/>
    </row>
    <row r="31" ht="22" customHeight="1">
      <c r="B31" s="38" t="inlineStr">
        <is>
          <t>追加収益期待値</t>
        </is>
      </c>
      <c r="C31" s="75" t="inlineStr">
        <is>
          <t>1,500円</t>
        </is>
      </c>
      <c r="D31" s="74">
        <f>1%×5本×30,000</f>
        <v/>
      </c>
    </row>
    <row r="32" ht="22" customHeight="1">
      <c r="B32" s="45" t="inlineStr">
        <is>
          <t>合計LTV</t>
        </is>
      </c>
      <c r="C32" s="76" t="inlineStr">
        <is>
          <t>61,500円</t>
        </is>
      </c>
      <c r="D32" s="74" t="inlineStr">
        <is>
          <t>基本60,000+追加1,500</t>
        </is>
      </c>
    </row>
  </sheetData>
  <mergeCells count="4">
    <mergeCell ref="B26:E26"/>
    <mergeCell ref="B1:E1"/>
    <mergeCell ref="B3:E3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1" ht="30" customHeight="1">
      <c r="B1" s="58" t="inlineStr">
        <is>
          <t>3ヵ年 キャッシュフロー計画（間接法）</t>
        </is>
      </c>
      <c r="C1" s="77" t="n"/>
      <c r="D1" s="77" t="n"/>
      <c r="E1" s="77" t="n"/>
      <c r="F1" s="78" t="n"/>
    </row>
    <row r="2" ht="36" customHeight="1">
      <c r="B2" s="2" t="inlineStr">
        <is>
          <t>項目</t>
        </is>
      </c>
      <c r="C2" s="2" t="inlineStr">
        <is>
          <t>R8実績（参考）</t>
        </is>
      </c>
      <c r="D2" s="3" t="inlineStr">
        <is>
          <t>R9計画</t>
        </is>
      </c>
      <c r="E2" s="3" t="inlineStr">
        <is>
          <t>R10計画</t>
        </is>
      </c>
      <c r="F2" s="3" t="inlineStr">
        <is>
          <t>R11計画</t>
        </is>
      </c>
    </row>
    <row r="3" ht="20" customHeight="1">
      <c r="B3" s="59" t="inlineStr">
        <is>
          <t>【営業活動キャッシュフロー】</t>
        </is>
      </c>
      <c r="C3" s="5" t="n"/>
      <c r="D3" s="5" t="n"/>
      <c r="E3" s="5" t="n"/>
      <c r="F3" s="5" t="n"/>
    </row>
    <row r="4" ht="20" customHeight="1">
      <c r="B4" s="60" t="inlineStr">
        <is>
          <t xml:space="preserve">　当期純利益（税引後）</t>
        </is>
      </c>
      <c r="C4" s="8" t="n">
        <v>4450000</v>
      </c>
      <c r="D4" s="61" t="n">
        <v>11391776</v>
      </c>
      <c r="E4" s="61" t="n">
        <v>66675196</v>
      </c>
      <c r="F4" s="61" t="n">
        <v>97012794</v>
      </c>
    </row>
    <row r="5" ht="20" customHeight="1">
      <c r="B5" s="60" t="inlineStr">
        <is>
          <t xml:space="preserve">　減価償却費</t>
        </is>
      </c>
      <c r="C5" s="8" t="n">
        <v>0</v>
      </c>
      <c r="D5" s="61" t="n">
        <v>0</v>
      </c>
      <c r="E5" s="61" t="n">
        <v>0</v>
      </c>
      <c r="F5" s="61" t="n">
        <v>0</v>
      </c>
    </row>
    <row r="6" ht="20" customHeight="1">
      <c r="B6" s="63" t="inlineStr">
        <is>
          <t xml:space="preserve">　LISA年払い前受収益の増減</t>
        </is>
      </c>
      <c r="C6" s="21" t="n">
        <v>0</v>
      </c>
      <c r="D6" s="21" t="n">
        <v>26950000</v>
      </c>
      <c r="E6" s="82" t="n">
        <v>-5000000</v>
      </c>
      <c r="F6" s="82" t="n">
        <v>-2500000</v>
      </c>
    </row>
    <row r="7" ht="20" customHeight="1">
      <c r="B7" s="60" t="inlineStr">
        <is>
          <t xml:space="preserve">　売上債権の増減（増加▲）</t>
        </is>
      </c>
      <c r="C7" s="34" t="n">
        <v>-1000000</v>
      </c>
      <c r="D7" s="86" t="n">
        <v>-2400000</v>
      </c>
      <c r="E7" s="86" t="n">
        <v>-500000</v>
      </c>
      <c r="F7" s="86" t="n">
        <v>-300000</v>
      </c>
    </row>
    <row r="8" ht="20" customHeight="1">
      <c r="B8" s="60" t="inlineStr">
        <is>
          <t xml:space="preserve">　仕入債務・未払金の増減</t>
        </is>
      </c>
      <c r="C8" s="8" t="n">
        <v>3815000</v>
      </c>
      <c r="D8" s="61" t="n">
        <v>1100000</v>
      </c>
      <c r="E8" s="61" t="n">
        <v>500000</v>
      </c>
      <c r="F8" s="61" t="n">
        <v>200000</v>
      </c>
    </row>
    <row r="9" ht="20" customHeight="1">
      <c r="B9" s="60" t="inlineStr">
        <is>
          <t xml:space="preserve">　その他運転資本変動</t>
        </is>
      </c>
      <c r="C9" s="8" t="n">
        <v>0</v>
      </c>
      <c r="D9" s="61" t="n">
        <v>0</v>
      </c>
      <c r="E9" s="61" t="n">
        <v>0</v>
      </c>
      <c r="F9" s="61" t="n">
        <v>0</v>
      </c>
    </row>
    <row r="10" ht="20" customHeight="1">
      <c r="B10" s="45" t="inlineStr">
        <is>
          <t>営業活動CF 合計</t>
        </is>
      </c>
      <c r="C10" s="84" t="n">
        <v>3210000</v>
      </c>
      <c r="D10" s="84" t="n">
        <v>37041776</v>
      </c>
      <c r="E10" s="84" t="n">
        <v>64675196</v>
      </c>
      <c r="F10" s="84" t="n">
        <v>105012794</v>
      </c>
    </row>
    <row r="11" ht="8" customHeight="1">
      <c r="B11" s="60" t="inlineStr"/>
      <c r="C11" s="18" t="inlineStr"/>
      <c r="D11" s="18" t="inlineStr"/>
      <c r="E11" s="18" t="inlineStr"/>
      <c r="F11" s="18" t="inlineStr"/>
    </row>
    <row r="12" ht="20" customHeight="1">
      <c r="B12" s="59" t="inlineStr">
        <is>
          <t>【投資活動キャッシュフロー】</t>
        </is>
      </c>
      <c r="C12" s="5" t="n"/>
      <c r="D12" s="5" t="n"/>
      <c r="E12" s="5" t="n"/>
      <c r="F12" s="5" t="n"/>
    </row>
    <row r="13" ht="20" customHeight="1">
      <c r="B13" s="60" t="inlineStr">
        <is>
          <t xml:space="preserve">　WS展開投資（場所・備品等）</t>
        </is>
      </c>
      <c r="C13" s="8" t="n">
        <v>0</v>
      </c>
      <c r="D13" s="86" t="n">
        <v>-10000000</v>
      </c>
      <c r="E13" s="86" t="n">
        <v>-3000000</v>
      </c>
      <c r="F13" s="86" t="n">
        <v>-2000000</v>
      </c>
    </row>
    <row r="14" ht="20" customHeight="1">
      <c r="B14" s="60" t="inlineStr">
        <is>
          <t xml:space="preserve">　コンテンツ制作費</t>
        </is>
      </c>
      <c r="C14" s="8" t="n">
        <v>0</v>
      </c>
      <c r="D14" s="86" t="n">
        <v>-6000000</v>
      </c>
      <c r="E14" s="86" t="n">
        <v>-1000000</v>
      </c>
      <c r="F14" s="86" t="n">
        <v>-1000000</v>
      </c>
    </row>
    <row r="15" ht="20" customHeight="1">
      <c r="B15" s="60" t="inlineStr">
        <is>
          <t xml:space="preserve">　広告クリエイティブ改善</t>
        </is>
      </c>
      <c r="C15" s="8" t="n">
        <v>0</v>
      </c>
      <c r="D15" s="86" t="n">
        <v>-6000000</v>
      </c>
      <c r="E15" s="61" t="n">
        <v>0</v>
      </c>
      <c r="F15" s="61" t="n">
        <v>0</v>
      </c>
    </row>
    <row r="16" ht="20" customHeight="1">
      <c r="B16" s="60" t="inlineStr">
        <is>
          <t xml:space="preserve">　その他設備投資</t>
        </is>
      </c>
      <c r="C16" s="8" t="n">
        <v>0</v>
      </c>
      <c r="D16" s="61" t="n">
        <v>0</v>
      </c>
      <c r="E16" s="86" t="n">
        <v>-500000</v>
      </c>
      <c r="F16" s="61" t="n">
        <v>0</v>
      </c>
    </row>
    <row r="17" ht="20" customHeight="1">
      <c r="B17" s="60" t="inlineStr">
        <is>
          <t>投資活動CF 合計</t>
        </is>
      </c>
      <c r="C17" s="8" t="n">
        <v>0</v>
      </c>
      <c r="D17" s="86" t="n">
        <v>-22000000</v>
      </c>
      <c r="E17" s="86" t="n">
        <v>-5000000</v>
      </c>
      <c r="F17" s="86" t="n">
        <v>-3000000</v>
      </c>
    </row>
    <row r="18" ht="8" customHeight="1">
      <c r="B18" s="60" t="inlineStr"/>
      <c r="C18" s="18" t="inlineStr"/>
      <c r="D18" s="18" t="inlineStr"/>
      <c r="E18" s="18" t="inlineStr"/>
      <c r="F18" s="18" t="inlineStr"/>
    </row>
    <row r="19" ht="20" customHeight="1">
      <c r="B19" s="59" t="inlineStr">
        <is>
          <t>【財務活動キャッシュフロー】</t>
        </is>
      </c>
      <c r="C19" s="5" t="n"/>
      <c r="D19" s="5" t="n"/>
      <c r="E19" s="5" t="n"/>
      <c r="F19" s="5" t="n"/>
    </row>
    <row r="20" ht="20" customHeight="1">
      <c r="B20" s="68" t="inlineStr">
        <is>
          <t xml:space="preserve">　新規借入実行（30M）</t>
        </is>
      </c>
      <c r="C20" s="11" t="n">
        <v>0</v>
      </c>
      <c r="D20" s="11" t="n">
        <v>30000000</v>
      </c>
      <c r="E20" s="11" t="n">
        <v>0</v>
      </c>
      <c r="F20" s="11" t="n">
        <v>0</v>
      </c>
    </row>
    <row r="21" ht="20" customHeight="1">
      <c r="B21" s="60" t="inlineStr">
        <is>
          <t xml:space="preserve">　既存借入返済（▲）</t>
        </is>
      </c>
      <c r="C21" s="34" t="n">
        <v>-2225000</v>
      </c>
      <c r="D21" s="86" t="n">
        <v>-1500000</v>
      </c>
      <c r="E21" s="86" t="n">
        <v>-1500000</v>
      </c>
      <c r="F21" s="86" t="n">
        <v>-1500000</v>
      </c>
    </row>
    <row r="22" ht="20" customHeight="1">
      <c r="B22" s="60" t="inlineStr">
        <is>
          <t xml:space="preserve">　新規借入返済（▲30Mの返済）</t>
        </is>
      </c>
      <c r="C22" s="8" t="n">
        <v>0</v>
      </c>
      <c r="D22" s="86" t="n">
        <v>-2750000</v>
      </c>
      <c r="E22" s="86" t="n">
        <v>-3000000</v>
      </c>
      <c r="F22" s="86" t="n">
        <v>-3000000</v>
      </c>
    </row>
    <row r="23" ht="20" customHeight="1">
      <c r="B23" s="60" t="inlineStr">
        <is>
          <t>財務活動CF 合計</t>
        </is>
      </c>
      <c r="C23" s="8" t="n">
        <v>2225000</v>
      </c>
      <c r="D23" s="61" t="n">
        <v>25750000</v>
      </c>
      <c r="E23" s="86" t="n">
        <v>-34650000</v>
      </c>
      <c r="F23" s="86" t="n">
        <v>-36382500</v>
      </c>
    </row>
    <row r="24" ht="8" customHeight="1">
      <c r="B24" s="60" t="inlineStr"/>
      <c r="C24" s="18" t="inlineStr"/>
      <c r="D24" s="18" t="inlineStr"/>
      <c r="E24" s="18" t="inlineStr"/>
      <c r="F24" s="18" t="inlineStr"/>
    </row>
    <row r="25" ht="20" customHeight="1">
      <c r="B25" s="66" t="inlineStr">
        <is>
          <t>当期 純CF（増減）</t>
        </is>
      </c>
      <c r="C25" s="25" t="n">
        <v>15014034</v>
      </c>
      <c r="D25" s="25" t="n">
        <v>40791776</v>
      </c>
      <c r="E25" s="67" t="n">
        <v>25025196</v>
      </c>
      <c r="F25" s="25" t="n">
        <v>65630294</v>
      </c>
    </row>
    <row r="26" ht="20" customHeight="1">
      <c r="B26" s="60" t="inlineStr">
        <is>
          <t>期初 現金残高</t>
        </is>
      </c>
      <c r="C26" s="8" t="n">
        <v>4576000</v>
      </c>
      <c r="D26" s="61" t="n">
        <v>19271065</v>
      </c>
      <c r="E26" s="61" t="n">
        <v>60062841</v>
      </c>
      <c r="F26" s="61" t="n">
        <v>85088037</v>
      </c>
    </row>
    <row r="27" ht="20" customHeight="1">
      <c r="B27" s="62" t="inlineStr">
        <is>
          <t>期末 現金残高</t>
        </is>
      </c>
      <c r="C27" s="16" t="n">
        <v>19271065</v>
      </c>
      <c r="D27" s="16" t="n">
        <v>60062841</v>
      </c>
      <c r="E27" s="16" t="n">
        <v>85088037</v>
      </c>
      <c r="F27" s="16" t="n">
        <v>150718331</v>
      </c>
    </row>
    <row r="28" ht="8" customHeight="1">
      <c r="B28" s="60" t="inlineStr"/>
      <c r="C28" s="18" t="inlineStr"/>
      <c r="D28" s="18" t="inlineStr"/>
      <c r="E28" s="18" t="inlineStr"/>
      <c r="F28" s="18" t="inlineStr"/>
    </row>
    <row r="29" ht="20" customHeight="1">
      <c r="B29" s="59" t="inlineStr">
        <is>
          <t>【銀行返済余力指標】</t>
        </is>
      </c>
      <c r="C29" s="5" t="n"/>
      <c r="D29" s="5" t="n"/>
      <c r="E29" s="5" t="n"/>
      <c r="F29" s="5" t="n"/>
    </row>
    <row r="30" ht="20" customHeight="1">
      <c r="B30" s="65" t="inlineStr">
        <is>
          <t xml:space="preserve">　営業CF（A）</t>
        </is>
      </c>
      <c r="C30" s="27" t="n">
        <v>3210000</v>
      </c>
      <c r="D30" s="27" t="n">
        <v>37041776</v>
      </c>
      <c r="E30" s="27" t="n">
        <v>64675196</v>
      </c>
      <c r="F30" s="27" t="n">
        <v>105012794</v>
      </c>
    </row>
    <row r="31" ht="20" customHeight="1">
      <c r="B31" s="65" t="inlineStr">
        <is>
          <t xml:space="preserve">　年間返済額（B）</t>
        </is>
      </c>
      <c r="C31" s="27" t="n">
        <v>2225000</v>
      </c>
      <c r="D31" s="27" t="n">
        <v>4250000</v>
      </c>
      <c r="E31" s="27" t="n">
        <v>4500000</v>
      </c>
      <c r="F31" s="27" t="n">
        <v>4500000</v>
      </c>
    </row>
    <row r="32" ht="20" customHeight="1">
      <c r="B32" s="66" t="inlineStr">
        <is>
          <t xml:space="preserve">　返済余力（A÷B）</t>
        </is>
      </c>
      <c r="C32" s="67" t="inlineStr">
        <is>
          <t>1.4x</t>
        </is>
      </c>
      <c r="D32" s="67" t="inlineStr">
        <is>
          <t>8.7x</t>
        </is>
      </c>
      <c r="E32" s="67" t="inlineStr">
        <is>
          <t>14.4x</t>
        </is>
      </c>
      <c r="F32" s="67" t="inlineStr">
        <is>
          <t>23.3x</t>
        </is>
      </c>
    </row>
    <row r="33" ht="20" customHeight="1">
      <c r="B33" s="65" t="inlineStr">
        <is>
          <t xml:space="preserve">　期末手持ち現金</t>
        </is>
      </c>
      <c r="C33" s="27" t="n">
        <v>19271065</v>
      </c>
      <c r="D33" s="27" t="n">
        <v>60062841</v>
      </c>
      <c r="E33" s="27" t="n">
        <v>85088037</v>
      </c>
      <c r="F33" s="27" t="n">
        <v>150718331</v>
      </c>
    </row>
    <row r="34" ht="20" customHeight="1">
      <c r="B34" s="65" t="inlineStr">
        <is>
          <t xml:space="preserve">  融資申請額</t>
        </is>
      </c>
      <c r="C34" s="27" t="n">
        <v>0</v>
      </c>
      <c r="D34" s="27" t="n">
        <v>30000000</v>
      </c>
      <c r="E34" s="27" t="n">
        <v>0</v>
      </c>
      <c r="F34" s="27" t="n">
        <v>0</v>
      </c>
    </row>
    <row r="36" ht="14" customHeight="1"/>
    <row r="37" ht="60" customHeight="1">
      <c r="B37" s="87" t="inlineStr">
        <is>
          <t>★ 銀行へのアピールポイント</t>
        </is>
      </c>
      <c r="C37" s="77" t="n"/>
      <c r="D37" s="77" t="n"/>
      <c r="E37" s="77" t="n"/>
      <c r="F37" s="78" t="n"/>
    </row>
    <row r="38" ht="50" customHeight="1">
      <c r="B38" s="88" t="inlineStr">
        <is>
          <t>① LISA年払い構造（70%が一括¥1,320,000/人）により、6月・12月に大きな正の営業CFが発生。純利益以上のキャッシュ創出が可能。
② R9営業CF 37,041,776円 ÷ 年間返済4,250千円 = 8.7倍の返済余力。
③ 3年間で現金残高は 150,718,331円まで積み上がる見込み（R8末比 +131,447,266円）。
④ 融資30M全額はR9 Q1に投資実行。R10以降は新規投資なし→フリーCFが大幅に改善。</t>
        </is>
      </c>
      <c r="C38" s="79" t="n"/>
      <c r="D38" s="79" t="n"/>
      <c r="E38" s="79" t="n"/>
      <c r="F38" s="80" t="n"/>
    </row>
  </sheetData>
  <mergeCells count="3">
    <mergeCell ref="B37:F37"/>
    <mergeCell ref="B1:F1"/>
    <mergeCell ref="B38:F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32" customHeight="1">
      <c r="B1" s="58" t="inlineStr">
        <is>
          <t>令和9年1月期 月次キャッシュフロー計画（直接法）</t>
        </is>
      </c>
    </row>
    <row r="2" ht="18" customHeight="1">
      <c r="B2" s="92" t="inlineStr">
        <is>
          <t>期首現金残高：¥19,271,065（令和8年1月期 決算報告書「現金及び預金」より）　売上回収：クレカ決済・翌月入金　R9期間：2026.2〜2027.1</t>
        </is>
      </c>
    </row>
    <row r="3" ht="22" customHeight="1">
      <c r="B3" s="2" t="inlineStr">
        <is>
          <t>項目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1月</t>
        </is>
      </c>
      <c r="O3" s="3" t="inlineStr">
        <is>
          <t>年計</t>
        </is>
      </c>
    </row>
    <row r="4" ht="20" customHeight="1">
      <c r="B4" s="4" t="inlineStr">
        <is>
          <t>【現金収入】</t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</row>
    <row r="5" ht="20" customHeight="1">
      <c r="B5" s="7" t="inlineStr">
        <is>
          <t xml:space="preserve">  D1 講座売上回収（前月分・翌月入金）</t>
        </is>
      </c>
      <c r="C5" s="8" t="n">
        <v>6667000</v>
      </c>
      <c r="D5" s="8" t="n">
        <v>3367000</v>
      </c>
      <c r="E5" s="8" t="n">
        <v>3367000</v>
      </c>
      <c r="F5" s="8" t="n">
        <v>2917000</v>
      </c>
      <c r="G5" s="8" t="n">
        <v>2917000</v>
      </c>
      <c r="H5" s="8" t="n">
        <v>2917000</v>
      </c>
      <c r="I5" s="8" t="n">
        <v>4136999</v>
      </c>
      <c r="J5" s="8" t="n">
        <v>4136999</v>
      </c>
      <c r="K5" s="8" t="n">
        <v>4747000</v>
      </c>
      <c r="L5" s="8" t="n">
        <v>4747000</v>
      </c>
      <c r="M5" s="8" t="n">
        <v>5356999</v>
      </c>
      <c r="N5" s="8" t="n">
        <v>5356999</v>
      </c>
      <c r="O5" s="9" t="n">
        <v>50633996</v>
      </c>
    </row>
    <row r="6" ht="20" customHeight="1">
      <c r="B6" s="20" t="inlineStr">
        <is>
          <t xml:space="preserve">  D2 LISA月額会員回収（前月分・翌月入金）</t>
        </is>
      </c>
      <c r="C6" s="21" t="n">
        <v>1283000</v>
      </c>
      <c r="D6" s="21" t="n">
        <v>836000</v>
      </c>
      <c r="E6" s="21" t="n">
        <v>794200</v>
      </c>
      <c r="F6" s="21" t="n">
        <v>752400</v>
      </c>
      <c r="G6" s="21" t="n">
        <v>710600</v>
      </c>
      <c r="H6" s="21" t="n">
        <v>1086800</v>
      </c>
      <c r="I6" s="21" t="n">
        <v>1003200</v>
      </c>
      <c r="J6" s="21" t="n">
        <v>919600</v>
      </c>
      <c r="K6" s="21" t="n">
        <v>836000</v>
      </c>
      <c r="L6" s="21" t="n">
        <v>752400</v>
      </c>
      <c r="M6" s="21" t="n">
        <v>668800</v>
      </c>
      <c r="N6" s="21" t="n">
        <v>836000</v>
      </c>
      <c r="O6" s="9" t="n">
        <v>10479000</v>
      </c>
    </row>
    <row r="7" ht="20" customHeight="1">
      <c r="B7" s="20" t="inlineStr">
        <is>
          <t xml:space="preserve">  D2 LISA年払い一括着金（TS38%・6月・12月）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10533600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7022400</v>
      </c>
      <c r="N7" s="21" t="n">
        <v>0</v>
      </c>
      <c r="O7" s="9" t="n">
        <v>17556000</v>
      </c>
    </row>
    <row r="8" ht="20" customHeight="1">
      <c r="B8" s="12" t="inlineStr">
        <is>
          <t xml:space="preserve">  　└ 年払いメンバー重複排除（月次▲）</t>
        </is>
      </c>
      <c r="C8" s="27" t="n">
        <v>0</v>
      </c>
      <c r="D8" s="27" t="n">
        <v>0</v>
      </c>
      <c r="E8" s="27" t="n">
        <v>0</v>
      </c>
      <c r="F8" s="27" t="n">
        <v>0</v>
      </c>
      <c r="G8" s="27" t="n">
        <v>0</v>
      </c>
      <c r="H8" s="13" t="n">
        <v>-877800</v>
      </c>
      <c r="I8" s="13" t="n">
        <v>-877800</v>
      </c>
      <c r="J8" s="13" t="n">
        <v>-877800</v>
      </c>
      <c r="K8" s="13" t="n">
        <v>-877800</v>
      </c>
      <c r="L8" s="13" t="n">
        <v>-877800</v>
      </c>
      <c r="M8" s="13" t="n">
        <v>-877800</v>
      </c>
      <c r="N8" s="13" t="n">
        <v>-1463000</v>
      </c>
      <c r="O8" s="93" t="n">
        <v>-6729800</v>
      </c>
    </row>
    <row r="9" ht="20" customHeight="1">
      <c r="B9" s="94" t="inlineStr">
        <is>
          <t>現金収入 合計</t>
        </is>
      </c>
      <c r="C9" s="84" t="n">
        <v>7950000</v>
      </c>
      <c r="D9" s="84" t="n">
        <v>4203000</v>
      </c>
      <c r="E9" s="84" t="n">
        <v>4161200</v>
      </c>
      <c r="F9" s="84" t="n">
        <v>3669400</v>
      </c>
      <c r="G9" s="84" t="n">
        <v>14161200</v>
      </c>
      <c r="H9" s="84" t="n">
        <v>3126000</v>
      </c>
      <c r="I9" s="84" t="n">
        <v>4262399</v>
      </c>
      <c r="J9" s="84" t="n">
        <v>4178799</v>
      </c>
      <c r="K9" s="84" t="n">
        <v>4705200</v>
      </c>
      <c r="L9" s="84" t="n">
        <v>4621600</v>
      </c>
      <c r="M9" s="84" t="n">
        <v>12170399</v>
      </c>
      <c r="N9" s="84" t="n">
        <v>4729999</v>
      </c>
      <c r="O9" s="9" t="n">
        <v>71939196</v>
      </c>
    </row>
    <row r="10" ht="8" customHeight="1">
      <c r="B10" s="7" t="inlineStr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</row>
    <row r="11" ht="20" customHeight="1">
      <c r="B11" s="4" t="inlineStr">
        <is>
          <t>【現金支出：事業費】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</row>
    <row r="12" ht="20" customHeight="1">
      <c r="B12" s="95" t="inlineStr">
        <is>
          <t xml:space="preserve">  広告費①（ゼンタングル）</t>
        </is>
      </c>
      <c r="C12" s="96" t="n">
        <v>-1800000</v>
      </c>
      <c r="D12" s="96" t="n">
        <v>-1800000</v>
      </c>
      <c r="E12" s="96" t="n">
        <v>-1500000</v>
      </c>
      <c r="F12" s="96" t="n">
        <v>-1500000</v>
      </c>
      <c r="G12" s="96" t="n">
        <v>-1500000</v>
      </c>
      <c r="H12" s="96" t="n">
        <v>-1500000</v>
      </c>
      <c r="I12" s="96" t="n">
        <v>-1500000</v>
      </c>
      <c r="J12" s="96" t="n">
        <v>-1500000</v>
      </c>
      <c r="K12" s="96" t="n">
        <v>-1500000</v>
      </c>
      <c r="L12" s="96" t="n">
        <v>-1500000</v>
      </c>
      <c r="M12" s="96" t="n">
        <v>-1500000</v>
      </c>
      <c r="N12" s="96" t="n">
        <v>-1400000</v>
      </c>
      <c r="O12" s="97" t="n">
        <v>-18500000</v>
      </c>
    </row>
    <row r="13" ht="20" customHeight="1">
      <c r="B13" s="95" t="inlineStr">
        <is>
          <t xml:space="preserve">  　└ 広告運用手数料（22%）</t>
        </is>
      </c>
      <c r="C13" s="96" t="n">
        <v>-396000</v>
      </c>
      <c r="D13" s="96" t="n">
        <v>-396000</v>
      </c>
      <c r="E13" s="96" t="n">
        <v>-330000</v>
      </c>
      <c r="F13" s="96" t="n">
        <v>-330000</v>
      </c>
      <c r="G13" s="96" t="n">
        <v>-330000</v>
      </c>
      <c r="H13" s="96" t="n">
        <v>-330000</v>
      </c>
      <c r="I13" s="96" t="n">
        <v>-330000</v>
      </c>
      <c r="J13" s="96" t="n">
        <v>-330000</v>
      </c>
      <c r="K13" s="96" t="n">
        <v>-330000</v>
      </c>
      <c r="L13" s="96" t="n">
        <v>-330000</v>
      </c>
      <c r="M13" s="96" t="n">
        <v>-330000</v>
      </c>
      <c r="N13" s="96" t="n">
        <v>-308000</v>
      </c>
      <c r="O13" s="97" t="n">
        <v>-4070000</v>
      </c>
    </row>
    <row r="14" ht="20" customHeight="1">
      <c r="B14" s="95" t="inlineStr">
        <is>
          <t xml:space="preserve">  広告費②（LISAPKG）</t>
        </is>
      </c>
      <c r="C14" s="96" t="n">
        <v>-200000</v>
      </c>
      <c r="D14" s="96" t="n">
        <v>-200000</v>
      </c>
      <c r="E14" s="96" t="n">
        <v>-200000</v>
      </c>
      <c r="F14" s="96" t="n">
        <v>-200000</v>
      </c>
      <c r="G14" s="96" t="n">
        <v>-1000000</v>
      </c>
      <c r="H14" s="96" t="n">
        <v>-200000</v>
      </c>
      <c r="I14" s="96" t="n">
        <v>-200000</v>
      </c>
      <c r="J14" s="96" t="n">
        <v>-200000</v>
      </c>
      <c r="K14" s="96" t="n">
        <v>-200000</v>
      </c>
      <c r="L14" s="96" t="n">
        <v>-1000000</v>
      </c>
      <c r="M14" s="96" t="n">
        <v>-200000</v>
      </c>
      <c r="N14" s="96" t="n">
        <v>-200000</v>
      </c>
      <c r="O14" s="97" t="n">
        <v>-4000000</v>
      </c>
    </row>
    <row r="15" ht="20" customHeight="1">
      <c r="B15" s="95" t="inlineStr">
        <is>
          <t xml:space="preserve">  　└ 広告運用手数料（22%）</t>
        </is>
      </c>
      <c r="C15" s="96" t="n">
        <v>-44000</v>
      </c>
      <c r="D15" s="96" t="n">
        <v>-44000</v>
      </c>
      <c r="E15" s="96" t="n">
        <v>-44000</v>
      </c>
      <c r="F15" s="96" t="n">
        <v>-44000</v>
      </c>
      <c r="G15" s="96" t="n">
        <v>-220000</v>
      </c>
      <c r="H15" s="96" t="n">
        <v>-44000</v>
      </c>
      <c r="I15" s="96" t="n">
        <v>-44000</v>
      </c>
      <c r="J15" s="96" t="n">
        <v>-44000</v>
      </c>
      <c r="K15" s="96" t="n">
        <v>-44000</v>
      </c>
      <c r="L15" s="96" t="n">
        <v>-220000</v>
      </c>
      <c r="M15" s="96" t="n">
        <v>-44000</v>
      </c>
      <c r="N15" s="96" t="n">
        <v>-44000</v>
      </c>
      <c r="O15" s="97" t="n">
        <v>-880000</v>
      </c>
    </row>
    <row r="16" ht="20" customHeight="1">
      <c r="B16" s="95" t="inlineStr">
        <is>
          <t xml:space="preserve">  WS会場費（7,000円/回）</t>
        </is>
      </c>
      <c r="C16" s="96" t="n">
        <v>0</v>
      </c>
      <c r="D16" s="96" t="n">
        <v>0</v>
      </c>
      <c r="E16" s="96" t="n">
        <v>0</v>
      </c>
      <c r="F16" s="96" t="n">
        <v>0</v>
      </c>
      <c r="G16" s="96" t="n">
        <v>0</v>
      </c>
      <c r="H16" s="96" t="n">
        <v>-140000</v>
      </c>
      <c r="I16" s="96" t="n">
        <v>-140000</v>
      </c>
      <c r="J16" s="96" t="n">
        <v>-210000</v>
      </c>
      <c r="K16" s="96" t="n">
        <v>-210000</v>
      </c>
      <c r="L16" s="96" t="n">
        <v>-280000</v>
      </c>
      <c r="M16" s="96" t="n">
        <v>-280000</v>
      </c>
      <c r="N16" s="96" t="n">
        <v>-350000</v>
      </c>
      <c r="O16" s="97" t="n">
        <v>-1610000</v>
      </c>
    </row>
    <row r="17" ht="20" customHeight="1">
      <c r="B17" s="95" t="inlineStr">
        <is>
          <t xml:space="preserve">  WS講師報酬（10,000円/回）</t>
        </is>
      </c>
      <c r="C17" s="96" t="n">
        <v>0</v>
      </c>
      <c r="D17" s="96" t="n">
        <v>0</v>
      </c>
      <c r="E17" s="96" t="n">
        <v>0</v>
      </c>
      <c r="F17" s="96" t="n">
        <v>0</v>
      </c>
      <c r="G17" s="96" t="n">
        <v>0</v>
      </c>
      <c r="H17" s="96" t="n">
        <v>-200000</v>
      </c>
      <c r="I17" s="96" t="n">
        <v>-200000</v>
      </c>
      <c r="J17" s="96" t="n">
        <v>-300000</v>
      </c>
      <c r="K17" s="96" t="n">
        <v>-300000</v>
      </c>
      <c r="L17" s="96" t="n">
        <v>-400000</v>
      </c>
      <c r="M17" s="96" t="n">
        <v>-400000</v>
      </c>
      <c r="N17" s="96" t="n">
        <v>-500000</v>
      </c>
      <c r="O17" s="97" t="n">
        <v>-2300000</v>
      </c>
    </row>
    <row r="18" ht="20" customHeight="1">
      <c r="B18" s="95" t="inlineStr">
        <is>
          <t xml:space="preserve">  セミナー・イベント費②</t>
        </is>
      </c>
      <c r="C18" s="96" t="n">
        <v>0</v>
      </c>
      <c r="D18" s="96" t="n">
        <v>0</v>
      </c>
      <c r="E18" s="96" t="n">
        <v>0</v>
      </c>
      <c r="F18" s="96" t="n">
        <v>0</v>
      </c>
      <c r="G18" s="96" t="n">
        <v>-500000</v>
      </c>
      <c r="H18" s="96" t="n">
        <v>0</v>
      </c>
      <c r="I18" s="96" t="n">
        <v>0</v>
      </c>
      <c r="J18" s="96" t="n">
        <v>0</v>
      </c>
      <c r="K18" s="96" t="n">
        <v>0</v>
      </c>
      <c r="L18" s="96" t="n">
        <v>-500000</v>
      </c>
      <c r="M18" s="96" t="n">
        <v>0</v>
      </c>
      <c r="N18" s="96" t="n">
        <v>0</v>
      </c>
      <c r="O18" s="97" t="n">
        <v>-1000000</v>
      </c>
    </row>
    <row r="19" ht="20" customHeight="1">
      <c r="B19" s="95" t="inlineStr">
        <is>
          <t xml:space="preserve">  Stripe決済手数料（4.5%）</t>
        </is>
      </c>
      <c r="C19" s="96" t="n">
        <v>-151515</v>
      </c>
      <c r="D19" s="96" t="n">
        <v>-151515</v>
      </c>
      <c r="E19" s="96" t="n">
        <v>-131265</v>
      </c>
      <c r="F19" s="96" t="n">
        <v>-131265</v>
      </c>
      <c r="G19" s="96" t="n">
        <v>-131265</v>
      </c>
      <c r="H19" s="96" t="n">
        <v>-186164</v>
      </c>
      <c r="I19" s="96" t="n">
        <v>-186164</v>
      </c>
      <c r="J19" s="96" t="n">
        <v>-213615</v>
      </c>
      <c r="K19" s="96" t="n">
        <v>-213615</v>
      </c>
      <c r="L19" s="96" t="n">
        <v>-241064</v>
      </c>
      <c r="M19" s="96" t="n">
        <v>-241064</v>
      </c>
      <c r="N19" s="96" t="n">
        <v>-261764</v>
      </c>
      <c r="O19" s="97" t="n">
        <v>-2240275</v>
      </c>
    </row>
    <row r="20" ht="20" customHeight="1">
      <c r="B20" s="95" t="inlineStr">
        <is>
          <t xml:space="preserve">  役員報酬</t>
        </is>
      </c>
      <c r="C20" s="96" t="n">
        <v>-600000</v>
      </c>
      <c r="D20" s="96" t="n">
        <v>-600000</v>
      </c>
      <c r="E20" s="96" t="n">
        <v>-600000</v>
      </c>
      <c r="F20" s="96" t="n">
        <v>-600000</v>
      </c>
      <c r="G20" s="96" t="n">
        <v>-600000</v>
      </c>
      <c r="H20" s="96" t="n">
        <v>-600000</v>
      </c>
      <c r="I20" s="96" t="n">
        <v>-600000</v>
      </c>
      <c r="J20" s="96" t="n">
        <v>-600000</v>
      </c>
      <c r="K20" s="96" t="n">
        <v>-600000</v>
      </c>
      <c r="L20" s="96" t="n">
        <v>-600000</v>
      </c>
      <c r="M20" s="96" t="n">
        <v>-600000</v>
      </c>
      <c r="N20" s="96" t="n">
        <v>-600000</v>
      </c>
      <c r="O20" s="97" t="n">
        <v>-7200000</v>
      </c>
    </row>
    <row r="21" ht="20" customHeight="1">
      <c r="B21" s="95" t="inlineStr">
        <is>
          <t xml:space="preserve">  その他費用</t>
        </is>
      </c>
      <c r="C21" s="96" t="n">
        <v>-783000</v>
      </c>
      <c r="D21" s="96" t="n">
        <v>-783000</v>
      </c>
      <c r="E21" s="96" t="n">
        <v>-783000</v>
      </c>
      <c r="F21" s="96" t="n">
        <v>-783000</v>
      </c>
      <c r="G21" s="96" t="n">
        <v>-783000</v>
      </c>
      <c r="H21" s="96" t="n">
        <v>-783000</v>
      </c>
      <c r="I21" s="96" t="n">
        <v>-783000</v>
      </c>
      <c r="J21" s="96" t="n">
        <v>-783000</v>
      </c>
      <c r="K21" s="96" t="n">
        <v>-783000</v>
      </c>
      <c r="L21" s="96" t="n">
        <v>-783000</v>
      </c>
      <c r="M21" s="96" t="n">
        <v>-783000</v>
      </c>
      <c r="N21" s="96" t="n">
        <v>-783000</v>
      </c>
      <c r="O21" s="97" t="n">
        <v>-9396000</v>
      </c>
    </row>
    <row r="22" ht="8" customHeight="1">
      <c r="B22" s="7" t="inlineStr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</row>
    <row r="23" ht="20" customHeight="1">
      <c r="B23" s="4" t="inlineStr">
        <is>
          <t>【現金支出：初期投資（営業CF内）】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</row>
    <row r="24" ht="20" customHeight="1">
      <c r="B24" s="95" t="inlineStr">
        <is>
          <t xml:space="preserve">  WS全国展開 初期費用（10M・Q1-Q2）</t>
        </is>
      </c>
      <c r="C24" s="96" t="n">
        <v>-3000000</v>
      </c>
      <c r="D24" s="96" t="n">
        <v>-3000000</v>
      </c>
      <c r="E24" s="96" t="n">
        <v>-2000000</v>
      </c>
      <c r="F24" s="96" t="n">
        <v>-2000000</v>
      </c>
      <c r="G24" s="96" t="n">
        <v>0</v>
      </c>
      <c r="H24" s="96" t="n">
        <v>0</v>
      </c>
      <c r="I24" s="96" t="n">
        <v>0</v>
      </c>
      <c r="J24" s="96" t="n">
        <v>0</v>
      </c>
      <c r="K24" s="96" t="n">
        <v>0</v>
      </c>
      <c r="L24" s="96" t="n">
        <v>0</v>
      </c>
      <c r="M24" s="96" t="n">
        <v>0</v>
      </c>
      <c r="N24" s="96" t="n">
        <v>0</v>
      </c>
      <c r="O24" s="97" t="n">
        <v>-10000000</v>
      </c>
    </row>
    <row r="25" ht="20" customHeight="1">
      <c r="B25" s="95" t="inlineStr">
        <is>
          <t xml:space="preserve">  コンテンツ制作費（6M・Q1-Q2）</t>
        </is>
      </c>
      <c r="C25" s="96" t="n">
        <v>-2000000</v>
      </c>
      <c r="D25" s="96" t="n">
        <v>-2000000</v>
      </c>
      <c r="E25" s="96" t="n">
        <v>-1000000</v>
      </c>
      <c r="F25" s="96" t="n">
        <v>-1000000</v>
      </c>
      <c r="G25" s="96" t="n">
        <v>0</v>
      </c>
      <c r="H25" s="96" t="n">
        <v>0</v>
      </c>
      <c r="I25" s="96" t="n">
        <v>0</v>
      </c>
      <c r="J25" s="96" t="n">
        <v>0</v>
      </c>
      <c r="K25" s="96" t="n">
        <v>0</v>
      </c>
      <c r="L25" s="96" t="n">
        <v>0</v>
      </c>
      <c r="M25" s="96" t="n">
        <v>0</v>
      </c>
      <c r="N25" s="96" t="n">
        <v>0</v>
      </c>
      <c r="O25" s="97" t="n">
        <v>-6000000</v>
      </c>
    </row>
    <row r="26" ht="20" customHeight="1">
      <c r="B26" s="95" t="inlineStr">
        <is>
          <t xml:space="preserve">  広告クリエイティブ改善（6M・Q1-Q2）</t>
        </is>
      </c>
      <c r="C26" s="96" t="n">
        <v>-2000000</v>
      </c>
      <c r="D26" s="96" t="n">
        <v>-2000000</v>
      </c>
      <c r="E26" s="96" t="n">
        <v>-1000000</v>
      </c>
      <c r="F26" s="96" t="n">
        <v>-1000000</v>
      </c>
      <c r="G26" s="96" t="n">
        <v>0</v>
      </c>
      <c r="H26" s="96" t="n">
        <v>0</v>
      </c>
      <c r="I26" s="96" t="n">
        <v>0</v>
      </c>
      <c r="J26" s="96" t="n">
        <v>0</v>
      </c>
      <c r="K26" s="96" t="n">
        <v>0</v>
      </c>
      <c r="L26" s="96" t="n">
        <v>0</v>
      </c>
      <c r="M26" s="96" t="n">
        <v>0</v>
      </c>
      <c r="N26" s="96" t="n">
        <v>0</v>
      </c>
      <c r="O26" s="97" t="n">
        <v>-6000000</v>
      </c>
    </row>
    <row r="27" ht="8" customHeight="1">
      <c r="B27" s="7" t="inlineStr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</row>
    <row r="28" ht="20" customHeight="1">
      <c r="B28" s="12" t="inlineStr">
        <is>
          <t>現金支出 合計</t>
        </is>
      </c>
      <c r="C28" s="13" t="n">
        <v>-10974515</v>
      </c>
      <c r="D28" s="13" t="n">
        <v>-10974515</v>
      </c>
      <c r="E28" s="13" t="n">
        <v>-7588265</v>
      </c>
      <c r="F28" s="13" t="n">
        <v>-7588265</v>
      </c>
      <c r="G28" s="13" t="n">
        <v>-5064265</v>
      </c>
      <c r="H28" s="13" t="n">
        <v>-3983164</v>
      </c>
      <c r="I28" s="13" t="n">
        <v>-3983164</v>
      </c>
      <c r="J28" s="13" t="n">
        <v>-4180615</v>
      </c>
      <c r="K28" s="13" t="n">
        <v>-4180615</v>
      </c>
      <c r="L28" s="13" t="n">
        <v>-5854064</v>
      </c>
      <c r="M28" s="13" t="n">
        <v>-4378064</v>
      </c>
      <c r="N28" s="13" t="n">
        <v>-4446764</v>
      </c>
      <c r="O28" s="93" t="n">
        <v>-73196275</v>
      </c>
    </row>
    <row r="29" ht="8" customHeight="1">
      <c r="B29" s="7" t="inlineStr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</row>
    <row r="30" ht="20" customHeight="1">
      <c r="B30" s="24" t="inlineStr">
        <is>
          <t>営業活動CF（収入−支出）</t>
        </is>
      </c>
      <c r="C30" s="26" t="n">
        <v>-3024515</v>
      </c>
      <c r="D30" s="26" t="n">
        <v>-6771515</v>
      </c>
      <c r="E30" s="26" t="n">
        <v>-3427065</v>
      </c>
      <c r="F30" s="26" t="n">
        <v>-3918865</v>
      </c>
      <c r="G30" s="25" t="n">
        <v>9096935</v>
      </c>
      <c r="H30" s="26" t="n">
        <v>-857164</v>
      </c>
      <c r="I30" s="25" t="n">
        <v>279235</v>
      </c>
      <c r="J30" s="26" t="n">
        <v>-1816</v>
      </c>
      <c r="K30" s="25" t="n">
        <v>524585</v>
      </c>
      <c r="L30" s="26" t="n">
        <v>-1232464</v>
      </c>
      <c r="M30" s="25" t="n">
        <v>7792335</v>
      </c>
      <c r="N30" s="25" t="n">
        <v>283235</v>
      </c>
      <c r="O30" s="97" t="n">
        <v>-1257079</v>
      </c>
    </row>
    <row r="31" ht="8" customHeight="1">
      <c r="B31" s="7" t="inlineStr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</row>
    <row r="32" ht="20" customHeight="1">
      <c r="B32" s="4" t="inlineStr">
        <is>
          <t>【財務活動CF】</t>
        </is>
      </c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</row>
    <row r="33" ht="20" customHeight="1">
      <c r="B33" s="98" t="inlineStr">
        <is>
          <t xml:space="preserve">  新規借入実行（30M・2月）</t>
        </is>
      </c>
      <c r="C33" s="99" t="n">
        <v>30000000</v>
      </c>
      <c r="D33" s="99" t="n">
        <v>0</v>
      </c>
      <c r="E33" s="99" t="n">
        <v>0</v>
      </c>
      <c r="F33" s="99" t="n">
        <v>0</v>
      </c>
      <c r="G33" s="99" t="n">
        <v>0</v>
      </c>
      <c r="H33" s="99" t="n">
        <v>0</v>
      </c>
      <c r="I33" s="99" t="n">
        <v>0</v>
      </c>
      <c r="J33" s="99" t="n">
        <v>0</v>
      </c>
      <c r="K33" s="99" t="n">
        <v>0</v>
      </c>
      <c r="L33" s="99" t="n">
        <v>0</v>
      </c>
      <c r="M33" s="99" t="n">
        <v>0</v>
      </c>
      <c r="N33" s="99" t="n">
        <v>0</v>
      </c>
      <c r="O33" s="9" t="n">
        <v>30000000</v>
      </c>
    </row>
    <row r="34" ht="20" customHeight="1">
      <c r="B34" s="7" t="inlineStr">
        <is>
          <t xml:space="preserve">  既存借入返済（9M÷72ヶ月）</t>
        </is>
      </c>
      <c r="C34" s="34" t="n">
        <v>-125000</v>
      </c>
      <c r="D34" s="34" t="n">
        <v>-125000</v>
      </c>
      <c r="E34" s="34" t="n">
        <v>-125000</v>
      </c>
      <c r="F34" s="34" t="n">
        <v>-125000</v>
      </c>
      <c r="G34" s="34" t="n">
        <v>-125000</v>
      </c>
      <c r="H34" s="34" t="n">
        <v>-125000</v>
      </c>
      <c r="I34" s="34" t="n">
        <v>-125000</v>
      </c>
      <c r="J34" s="34" t="n">
        <v>-125000</v>
      </c>
      <c r="K34" s="34" t="n">
        <v>-125000</v>
      </c>
      <c r="L34" s="34" t="n">
        <v>-125000</v>
      </c>
      <c r="M34" s="34" t="n">
        <v>-125000</v>
      </c>
      <c r="N34" s="34" t="n">
        <v>-125000</v>
      </c>
      <c r="O34" s="97" t="n">
        <v>-1500000</v>
      </c>
    </row>
    <row r="35" ht="20" customHeight="1">
      <c r="B35" s="7" t="inlineStr">
        <is>
          <t xml:space="preserve">  新規借入返済（30M÷120ヶ月・3月〜）</t>
        </is>
      </c>
      <c r="C35" s="8" t="n">
        <v>0</v>
      </c>
      <c r="D35" s="34" t="n">
        <v>-250000</v>
      </c>
      <c r="E35" s="34" t="n">
        <v>-250000</v>
      </c>
      <c r="F35" s="34" t="n">
        <v>-250000</v>
      </c>
      <c r="G35" s="34" t="n">
        <v>-250000</v>
      </c>
      <c r="H35" s="34" t="n">
        <v>-250000</v>
      </c>
      <c r="I35" s="34" t="n">
        <v>-250000</v>
      </c>
      <c r="J35" s="34" t="n">
        <v>-250000</v>
      </c>
      <c r="K35" s="34" t="n">
        <v>-250000</v>
      </c>
      <c r="L35" s="34" t="n">
        <v>-250000</v>
      </c>
      <c r="M35" s="34" t="n">
        <v>-250000</v>
      </c>
      <c r="N35" s="34" t="n">
        <v>-250000</v>
      </c>
      <c r="O35" s="97" t="n">
        <v>-2750000</v>
      </c>
    </row>
    <row r="36" ht="20" customHeight="1">
      <c r="B36" s="98" t="inlineStr">
        <is>
          <t>財務活動CF 合計</t>
        </is>
      </c>
      <c r="C36" s="99" t="n">
        <v>29875000</v>
      </c>
      <c r="D36" s="100" t="n">
        <v>-375000</v>
      </c>
      <c r="E36" s="100" t="n">
        <v>-375000</v>
      </c>
      <c r="F36" s="100" t="n">
        <v>-375000</v>
      </c>
      <c r="G36" s="100" t="n">
        <v>-375000</v>
      </c>
      <c r="H36" s="100" t="n">
        <v>-375000</v>
      </c>
      <c r="I36" s="100" t="n">
        <v>-375000</v>
      </c>
      <c r="J36" s="100" t="n">
        <v>-375000</v>
      </c>
      <c r="K36" s="100" t="n">
        <v>-375000</v>
      </c>
      <c r="L36" s="100" t="n">
        <v>-375000</v>
      </c>
      <c r="M36" s="100" t="n">
        <v>-375000</v>
      </c>
      <c r="N36" s="100" t="n">
        <v>-375000</v>
      </c>
      <c r="O36" s="9" t="n">
        <v>25750000</v>
      </c>
    </row>
    <row r="37" ht="8" customHeight="1">
      <c r="B37" s="7" t="inlineStr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</row>
    <row r="38" ht="20" customHeight="1">
      <c r="B38" s="24" t="inlineStr">
        <is>
          <t>当月 純CF（増減）</t>
        </is>
      </c>
      <c r="C38" s="25" t="n">
        <v>26850485</v>
      </c>
      <c r="D38" s="26" t="n">
        <v>-7146515</v>
      </c>
      <c r="E38" s="26" t="n">
        <v>-3802065</v>
      </c>
      <c r="F38" s="26" t="n">
        <v>-4293865</v>
      </c>
      <c r="G38" s="25" t="n">
        <v>8721935</v>
      </c>
      <c r="H38" s="26" t="n">
        <v>-1232164</v>
      </c>
      <c r="I38" s="26" t="n">
        <v>-95765</v>
      </c>
      <c r="J38" s="26" t="n">
        <v>-376816</v>
      </c>
      <c r="K38" s="25" t="n">
        <v>149585</v>
      </c>
      <c r="L38" s="26" t="n">
        <v>-1607464</v>
      </c>
      <c r="M38" s="25" t="n">
        <v>7417335</v>
      </c>
      <c r="N38" s="26" t="n">
        <v>-91765</v>
      </c>
      <c r="O38" s="9" t="n">
        <v>24492921</v>
      </c>
    </row>
    <row r="39" ht="8" customHeight="1">
      <c r="B39" s="7" t="inlineStr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</row>
    <row r="40" ht="20" customHeight="1">
      <c r="B40" s="15" t="inlineStr">
        <is>
          <t>期初 現金残高（月初）</t>
        </is>
      </c>
      <c r="C40" s="16" t="n">
        <v>19271065</v>
      </c>
      <c r="D40" s="16" t="n">
        <v>46121550</v>
      </c>
      <c r="E40" s="16" t="n">
        <v>38975035</v>
      </c>
      <c r="F40" s="16" t="n">
        <v>35172970</v>
      </c>
      <c r="G40" s="16" t="n">
        <v>30879105</v>
      </c>
      <c r="H40" s="16" t="n">
        <v>39601040</v>
      </c>
      <c r="I40" s="16" t="n">
        <v>38368876</v>
      </c>
      <c r="J40" s="16" t="n">
        <v>38273111</v>
      </c>
      <c r="K40" s="16" t="n">
        <v>37896295</v>
      </c>
      <c r="L40" s="16" t="n">
        <v>38045880</v>
      </c>
      <c r="M40" s="16" t="n">
        <v>36438416</v>
      </c>
      <c r="N40" s="16" t="n">
        <v>43855751</v>
      </c>
      <c r="O40" s="17" t="n">
        <v>442899094</v>
      </c>
    </row>
    <row r="41" ht="20" customHeight="1">
      <c r="B41" s="90" t="inlineStr">
        <is>
          <t>期末 現金残高（月末）</t>
        </is>
      </c>
      <c r="C41" s="91" t="n">
        <v>46121550</v>
      </c>
      <c r="D41" s="91" t="n">
        <v>38975035</v>
      </c>
      <c r="E41" s="91" t="n">
        <v>35172970</v>
      </c>
      <c r="F41" s="91" t="n">
        <v>30879105</v>
      </c>
      <c r="G41" s="91" t="n">
        <v>39601040</v>
      </c>
      <c r="H41" s="91" t="n">
        <v>38368876</v>
      </c>
      <c r="I41" s="91" t="n">
        <v>38273111</v>
      </c>
      <c r="J41" s="91" t="n">
        <v>37896295</v>
      </c>
      <c r="K41" s="91" t="n">
        <v>38045880</v>
      </c>
      <c r="L41" s="91" t="n">
        <v>36438416</v>
      </c>
      <c r="M41" s="91" t="n">
        <v>43855751</v>
      </c>
      <c r="N41" s="91" t="n">
        <v>43763986</v>
      </c>
      <c r="O41" s="91" t="n">
        <v>467392015</v>
      </c>
    </row>
    <row r="43" ht="26" customHeight="1">
      <c r="B43" s="101" t="inlineStr">
        <is>
          <t>★ ポイント：①売上は翌月入金（クレカ翌月払い）を反映。②LISA年払い（21名×¥1,320K）が6月に¥10.5M、14名×¥1,320Kが12月に¥7.0M集中入金。③WS展開・コンテンツ制作・広告改善費（計22M）はQ1-Q2に集中支出→投資CFなし。④財務CFは借入実行・返済のみ。</t>
        </is>
      </c>
    </row>
  </sheetData>
  <mergeCells count="3">
    <mergeCell ref="B1:O1"/>
    <mergeCell ref="B2:O2"/>
    <mergeCell ref="B43:O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2026-04-27T13:46:45Z</dcterms:created>
  <dcterms:modified xmlns:dcterms="http://purl.org/dc/terms/" xmlns:xsi="http://www.w3.org/2001/XMLSchema-instance" xsi:type="dcterms:W3CDTF">2026-04-27T14:38:04Z</dcterms:modified>
</cp:coreProperties>
</file>