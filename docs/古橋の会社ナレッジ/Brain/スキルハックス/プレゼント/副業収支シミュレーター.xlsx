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支シミュレーター" sheetId="1" state="visible" r:id="rId1"/>
    <sheet name="スキル別相場表" sheetId="2" state="visible" r:id="rId2"/>
    <sheet name="目標逆算シー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i val="1"/>
      <color rgb="00888888"/>
      <sz val="10"/>
    </font>
    <font>
      <name val="Arial"/>
      <b val="1"/>
      <color rgb="00D4A853"/>
      <sz val="13"/>
    </font>
    <font>
      <name val="Arial"/>
      <color rgb="00333333"/>
      <sz val="11"/>
    </font>
    <font>
      <name val="Arial"/>
      <color rgb="001A1A2E"/>
      <sz val="12"/>
    </font>
    <font>
      <name val="Arial"/>
      <i val="1"/>
      <color rgb="00888888"/>
      <sz val="9"/>
    </font>
    <font>
      <name val="Arial"/>
      <b val="1"/>
      <color rgb="001A1A2E"/>
      <sz val="14"/>
    </font>
    <font>
      <name val="Arial"/>
      <b val="1"/>
      <color rgb="0027AE60"/>
      <sz val="14"/>
    </font>
    <font>
      <name val="Arial"/>
      <b val="1"/>
      <color rgb="0027AE60"/>
      <sz val="12"/>
    </font>
    <font>
      <name val="Arial"/>
      <b val="1"/>
      <color rgb="003498DB"/>
      <sz val="12"/>
    </font>
    <font>
      <name val="Arial"/>
      <b val="1"/>
      <color rgb="00D4A853"/>
      <sz val="12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DE7"/>
        <bgColor rgb="00FFFDE7"/>
      </patternFill>
    </fill>
    <fill>
      <patternFill patternType="solid">
        <fgColor rgb="00E8F5E9"/>
        <bgColor rgb="00E8F5E9"/>
      </patternFill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0" borderId="0" pivotButton="0" quotePrefix="0" xfId="0"/>
    <xf numFmtId="3" fontId="5" fillId="2" borderId="1" pivotButton="0" quotePrefix="0" xfId="0"/>
    <xf numFmtId="3" fontId="7" fillId="0" borderId="1" pivotButton="0" quotePrefix="0" xfId="0"/>
    <xf numFmtId="0" fontId="4" fillId="0" borderId="0" pivotButton="0" quotePrefix="0" xfId="0"/>
    <xf numFmtId="0" fontId="4" fillId="3" borderId="1" pivotButton="0" quotePrefix="0" xfId="0"/>
    <xf numFmtId="3" fontId="8" fillId="3" borderId="1" pivotButton="0" quotePrefix="0" xfId="0"/>
    <xf numFmtId="0" fontId="4" fillId="3" borderId="0" pivotButton="0" quotePrefix="0" xfId="0"/>
    <xf numFmtId="3" fontId="9" fillId="0" borderId="1" pivotButton="0" quotePrefix="0" xfId="0"/>
    <xf numFmtId="3" fontId="10" fillId="0" borderId="1" pivotButton="0" quotePrefix="0" xfId="0"/>
    <xf numFmtId="3" fontId="11" fillId="0" borderId="1" pivotButton="0" quotePrefix="0" xfId="0"/>
    <xf numFmtId="0" fontId="12" fillId="4" borderId="1" applyAlignment="1" pivotButton="0" quotePrefix="0" xfId="0">
      <alignment horizontal="center"/>
    </xf>
    <xf numFmtId="3" fontId="4" fillId="0" borderId="1" pivotButton="0" quotePrefix="0" xfId="0"/>
    <xf numFmtId="0" fontId="4" fillId="5" borderId="1" pivotButton="0" quotePrefix="0" xfId="0"/>
    <xf numFmtId="164" fontId="7" fillId="0" borderId="1" pivotButton="0" quotePrefix="0" xfId="0"/>
    <xf numFmtId="0" fontId="4" fillId="6" borderId="1" pivotButton="0" quotePrefix="0" xfId="0"/>
    <xf numFmtId="164" fontId="7" fillId="6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月間利益の推移（12ヶ月）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'収支シミュレーター'!G34</f>
            </strRef>
          </tx>
          <spPr>
            <a:ln>
              <a:prstDash val="solid"/>
            </a:ln>
          </spPr>
          <cat>
            <numRef>
              <f>'収支シミュレーター'!$B$35:$B$46</f>
            </numRef>
          </cat>
          <val>
            <numRef>
              <f>'収支シミュレーター'!$G$35:$G$46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48</row>
      <rowOff>0</rowOff>
    </from>
    <ext cx="90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B2:H69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0" customWidth="1" min="4" max="4"/>
    <col width="20" customWidth="1" min="5" max="5"/>
    <col width="3" customWidth="1" min="6" max="6"/>
    <col width="25" customWidth="1" min="7" max="7"/>
    <col width="20" customWidth="1" min="8" max="8"/>
  </cols>
  <sheetData>
    <row r="2">
      <c r="B2" s="1" t="inlineStr">
        <is>
          <t>💰 副業収支シミュレーター</t>
        </is>
      </c>
    </row>
    <row r="3">
      <c r="B3" s="2" t="inlineStr">
        <is>
          <t>あなたの副業収入をシミュレーションしましょう</t>
        </is>
      </c>
    </row>
    <row r="5">
      <c r="B5" s="3" t="inlineStr">
        <is>
          <t>📋 STEP 1：基本情報を入力</t>
        </is>
      </c>
    </row>
    <row r="7">
      <c r="B7" s="4" t="inlineStr">
        <is>
          <t>スキル種別</t>
        </is>
      </c>
      <c r="C7" s="5" t="inlineStr">
        <is>
          <t>動画編集</t>
        </is>
      </c>
      <c r="D7" s="6" t="inlineStr">
        <is>
          <t>動画編集 / デザイン / プログラミング / ライティング から選択</t>
        </is>
      </c>
    </row>
    <row r="8">
      <c r="B8" s="4" t="inlineStr">
        <is>
          <t>1案件あたりの単価（円）</t>
        </is>
      </c>
      <c r="C8" s="7" t="n">
        <v>5000</v>
      </c>
      <c r="D8" s="6" t="inlineStr">
        <is>
          <t>例）動画編集5,000円、LP制作50,000円</t>
        </is>
      </c>
    </row>
    <row r="9">
      <c r="B9" s="4" t="inlineStr">
        <is>
          <t>月の作業可能時間（時間）</t>
        </is>
      </c>
      <c r="C9" s="7" t="n">
        <v>40</v>
      </c>
      <c r="D9" s="6" t="inlineStr">
        <is>
          <t>例）平日2h×20日 = 40時間</t>
        </is>
      </c>
    </row>
    <row r="10">
      <c r="B10" s="4" t="inlineStr">
        <is>
          <t>1案件あたりの作業時間（時間）</t>
        </is>
      </c>
      <c r="C10" s="7" t="n">
        <v>3</v>
      </c>
      <c r="D10" s="6" t="inlineStr">
        <is>
          <t>例）10分動画の編集 = 約3時間</t>
        </is>
      </c>
    </row>
    <row r="11">
      <c r="B11" s="4" t="inlineStr">
        <is>
          <t>月間経費（円）</t>
        </is>
      </c>
      <c r="C11" s="7" t="n">
        <v>2000</v>
      </c>
      <c r="D11" s="6" t="inlineStr">
        <is>
          <t>Adobe月額、通信費 等</t>
        </is>
      </c>
    </row>
    <row r="14">
      <c r="B14" s="3" t="inlineStr">
        <is>
          <t>📊 STEP 2：シミュレーション結果</t>
        </is>
      </c>
    </row>
    <row r="16">
      <c r="B16" s="4" t="inlineStr">
        <is>
          <t>月間案件数（自動計算）</t>
        </is>
      </c>
      <c r="C16" s="8">
        <f>ROUNDDOWN(C9/C10,0)</f>
        <v/>
      </c>
      <c r="D16" s="9" t="inlineStr">
        <is>
          <t>件</t>
        </is>
      </c>
      <c r="E16" s="6" t="inlineStr">
        <is>
          <t>作業可能時間 ÷ 1案件の作業時間</t>
        </is>
      </c>
    </row>
    <row r="17">
      <c r="B17" s="4" t="inlineStr">
        <is>
          <t>月間売上（税込）</t>
        </is>
      </c>
      <c r="C17" s="8">
        <f>C8*C16</f>
        <v/>
      </c>
      <c r="D17" s="9" t="inlineStr">
        <is>
          <t>円</t>
        </is>
      </c>
      <c r="E17" s="6" t="inlineStr">
        <is>
          <t>単価 × 月間案件数</t>
        </is>
      </c>
    </row>
    <row r="18">
      <c r="B18" s="4" t="inlineStr">
        <is>
          <t>月間経費</t>
        </is>
      </c>
      <c r="C18" s="8">
        <f>C11</f>
        <v/>
      </c>
      <c r="D18" s="9" t="inlineStr">
        <is>
          <t>円</t>
        </is>
      </c>
    </row>
    <row r="19">
      <c r="B19" s="10" t="inlineStr">
        <is>
          <t>月間利益（手取り目安）</t>
        </is>
      </c>
      <c r="C19" s="11">
        <f>C17-C18</f>
        <v/>
      </c>
      <c r="D19" s="12" t="inlineStr">
        <is>
          <t>円</t>
        </is>
      </c>
      <c r="E19" s="6" t="inlineStr">
        <is>
          <t>売上 − 経費</t>
        </is>
      </c>
    </row>
    <row r="20">
      <c r="B20" s="4" t="inlineStr">
        <is>
          <t>年間利益（概算）</t>
        </is>
      </c>
      <c r="C20" s="8">
        <f>C19*12</f>
        <v/>
      </c>
      <c r="D20" s="9" t="inlineStr">
        <is>
          <t>円</t>
        </is>
      </c>
    </row>
    <row r="21">
      <c r="B21" s="4" t="inlineStr">
        <is>
          <t>実質時給</t>
        </is>
      </c>
      <c r="C21" s="8">
        <f>ROUND(C19/C9,0)</f>
        <v/>
      </c>
      <c r="D21" s="9" t="inlineStr">
        <is>
          <t>円/時間</t>
        </is>
      </c>
      <c r="E21" s="6" t="inlineStr">
        <is>
          <t>月間利益 ÷ 月の作業時間</t>
        </is>
      </c>
    </row>
    <row r="24">
      <c r="B24" s="3" t="inlineStr">
        <is>
          <t>🏦 STEP 3：キャッシュフローの4つの箱</t>
        </is>
      </c>
    </row>
    <row r="26">
      <c r="B26" s="4" t="inlineStr">
        <is>
          <t>収入</t>
        </is>
      </c>
      <c r="C26" s="13">
        <f>C19</f>
        <v/>
      </c>
      <c r="D26" s="9" t="inlineStr">
        <is>
          <t>円</t>
        </is>
      </c>
      <c r="E26" s="6" t="inlineStr">
        <is>
          <t>副業の月間利益</t>
        </is>
      </c>
    </row>
    <row r="27">
      <c r="B27" s="4" t="inlineStr">
        <is>
          <t>支出（生活費を想定）</t>
        </is>
      </c>
      <c r="C27" s="7" t="n">
        <v>150000</v>
      </c>
      <c r="D27" s="9" t="inlineStr">
        <is>
          <t>円</t>
        </is>
      </c>
      <c r="E27" s="6" t="inlineStr">
        <is>
          <t>家賃・食費・固定費 等（入力してください）</t>
        </is>
      </c>
    </row>
    <row r="28">
      <c r="B28" s="4" t="inlineStr">
        <is>
          <t>貯蓄に回せる額</t>
        </is>
      </c>
      <c r="C28" s="14">
        <f>C26-C27</f>
        <v/>
      </c>
      <c r="D28" s="9" t="inlineStr">
        <is>
          <t>円</t>
        </is>
      </c>
      <c r="E28" s="6" t="inlineStr">
        <is>
          <t>収入 − 支出</t>
        </is>
      </c>
    </row>
    <row r="29">
      <c r="B29" s="4" t="inlineStr">
        <is>
          <t>資産運用に回す額</t>
        </is>
      </c>
      <c r="C29" s="15">
        <f>C28*0.3</f>
        <v/>
      </c>
      <c r="D29" s="9" t="inlineStr">
        <is>
          <t>円</t>
        </is>
      </c>
      <c r="E29" s="6" t="inlineStr">
        <is>
          <t>貯蓄の30%を投資に回す想定</t>
        </is>
      </c>
    </row>
    <row r="32">
      <c r="B32" s="3" t="inlineStr">
        <is>
          <t>📈 STEP 4：成長シミュレーション（12ヶ月予測）</t>
        </is>
      </c>
    </row>
    <row r="34">
      <c r="B34" s="16" t="inlineStr">
        <is>
          <t>月</t>
        </is>
      </c>
      <c r="C34" s="16" t="inlineStr">
        <is>
          <t>単価（円）</t>
        </is>
      </c>
      <c r="D34" s="16" t="inlineStr">
        <is>
          <t>月間案件数</t>
        </is>
      </c>
      <c r="E34" s="16" t="inlineStr">
        <is>
          <t>月間売上</t>
        </is>
      </c>
      <c r="F34" s="16" t="inlineStr">
        <is>
          <t>経費</t>
        </is>
      </c>
      <c r="G34" s="16" t="inlineStr">
        <is>
          <t>月間利益</t>
        </is>
      </c>
      <c r="H34" s="16" t="inlineStr">
        <is>
          <t>累計利益</t>
        </is>
      </c>
    </row>
    <row r="35">
      <c r="B35" s="4" t="inlineStr">
        <is>
          <t>1ヶ月目</t>
        </is>
      </c>
      <c r="C35" s="17">
        <f>C8</f>
        <v/>
      </c>
      <c r="D35" s="17">
        <f>C16</f>
        <v/>
      </c>
      <c r="E35" s="17">
        <f>C35*D35</f>
        <v/>
      </c>
      <c r="F35" s="17">
        <f>C11</f>
        <v/>
      </c>
      <c r="G35" s="17">
        <f>E35-F35</f>
        <v/>
      </c>
      <c r="H35" s="17">
        <f>G35</f>
        <v/>
      </c>
    </row>
    <row r="36">
      <c r="B36" s="4" t="inlineStr">
        <is>
          <t>2ヶ月目</t>
        </is>
      </c>
      <c r="C36" s="17">
        <f>C35</f>
        <v/>
      </c>
      <c r="D36" s="17">
        <f>C16</f>
        <v/>
      </c>
      <c r="E36" s="17">
        <f>C36*D36</f>
        <v/>
      </c>
      <c r="F36" s="17">
        <f>C11</f>
        <v/>
      </c>
      <c r="G36" s="17">
        <f>E36-F36</f>
        <v/>
      </c>
      <c r="H36" s="17">
        <f>H35+G36</f>
        <v/>
      </c>
    </row>
    <row r="37">
      <c r="B37" s="4" t="inlineStr">
        <is>
          <t>3ヶ月目</t>
        </is>
      </c>
      <c r="C37" s="17">
        <f>C35</f>
        <v/>
      </c>
      <c r="D37" s="17">
        <f>C16</f>
        <v/>
      </c>
      <c r="E37" s="17">
        <f>C37*D37</f>
        <v/>
      </c>
      <c r="F37" s="17">
        <f>C11</f>
        <v/>
      </c>
      <c r="G37" s="17">
        <f>E37-F37</f>
        <v/>
      </c>
      <c r="H37" s="17">
        <f>H36+G37</f>
        <v/>
      </c>
    </row>
    <row r="38">
      <c r="B38" s="4" t="inlineStr">
        <is>
          <t>4ヶ月目</t>
        </is>
      </c>
      <c r="C38" s="17">
        <f>ROUND(C35*1.1,0)</f>
        <v/>
      </c>
      <c r="D38" s="17">
        <f>C16+2</f>
        <v/>
      </c>
      <c r="E38" s="17">
        <f>C38*D38</f>
        <v/>
      </c>
      <c r="F38" s="17">
        <f>C11</f>
        <v/>
      </c>
      <c r="G38" s="17">
        <f>E38-F38</f>
        <v/>
      </c>
      <c r="H38" s="17">
        <f>H37+G38</f>
        <v/>
      </c>
    </row>
    <row r="39">
      <c r="B39" s="4" t="inlineStr">
        <is>
          <t>5ヶ月目</t>
        </is>
      </c>
      <c r="C39" s="17">
        <f>ROUND(C35*1.1,0)</f>
        <v/>
      </c>
      <c r="D39" s="17">
        <f>C16+2</f>
        <v/>
      </c>
      <c r="E39" s="17">
        <f>C39*D39</f>
        <v/>
      </c>
      <c r="F39" s="17">
        <f>C11</f>
        <v/>
      </c>
      <c r="G39" s="17">
        <f>E39-F39</f>
        <v/>
      </c>
      <c r="H39" s="17">
        <f>H38+G39</f>
        <v/>
      </c>
    </row>
    <row r="40">
      <c r="B40" s="4" t="inlineStr">
        <is>
          <t>6ヶ月目</t>
        </is>
      </c>
      <c r="C40" s="17">
        <f>ROUND(C35*1.1,0)</f>
        <v/>
      </c>
      <c r="D40" s="17">
        <f>C16+2</f>
        <v/>
      </c>
      <c r="E40" s="17">
        <f>C40*D40</f>
        <v/>
      </c>
      <c r="F40" s="17">
        <f>C11</f>
        <v/>
      </c>
      <c r="G40" s="17">
        <f>E40-F40</f>
        <v/>
      </c>
      <c r="H40" s="17">
        <f>H39+G40</f>
        <v/>
      </c>
    </row>
    <row r="41">
      <c r="B41" s="4" t="inlineStr">
        <is>
          <t>7ヶ月目</t>
        </is>
      </c>
      <c r="C41" s="17">
        <f>ROUND(C35*1.3,0)</f>
        <v/>
      </c>
      <c r="D41" s="17">
        <f>C16+4</f>
        <v/>
      </c>
      <c r="E41" s="17">
        <f>C41*D41</f>
        <v/>
      </c>
      <c r="F41" s="17">
        <f>C11</f>
        <v/>
      </c>
      <c r="G41" s="17">
        <f>E41-F41</f>
        <v/>
      </c>
      <c r="H41" s="17">
        <f>H40+G41</f>
        <v/>
      </c>
    </row>
    <row r="42">
      <c r="B42" s="4" t="inlineStr">
        <is>
          <t>8ヶ月目</t>
        </is>
      </c>
      <c r="C42" s="17">
        <f>ROUND(C35*1.3,0)</f>
        <v/>
      </c>
      <c r="D42" s="17">
        <f>C16+4</f>
        <v/>
      </c>
      <c r="E42" s="17">
        <f>C42*D42</f>
        <v/>
      </c>
      <c r="F42" s="17">
        <f>C11</f>
        <v/>
      </c>
      <c r="G42" s="17">
        <f>E42-F42</f>
        <v/>
      </c>
      <c r="H42" s="17">
        <f>H41+G42</f>
        <v/>
      </c>
    </row>
    <row r="43">
      <c r="B43" s="4" t="inlineStr">
        <is>
          <t>9ヶ月目</t>
        </is>
      </c>
      <c r="C43" s="17">
        <f>ROUND(C35*1.3,0)</f>
        <v/>
      </c>
      <c r="D43" s="17">
        <f>C16+4</f>
        <v/>
      </c>
      <c r="E43" s="17">
        <f>C43*D43</f>
        <v/>
      </c>
      <c r="F43" s="17">
        <f>C11</f>
        <v/>
      </c>
      <c r="G43" s="17">
        <f>E43-F43</f>
        <v/>
      </c>
      <c r="H43" s="17">
        <f>H42+G43</f>
        <v/>
      </c>
    </row>
    <row r="44">
      <c r="B44" s="4" t="inlineStr">
        <is>
          <t>10ヶ月目</t>
        </is>
      </c>
      <c r="C44" s="17">
        <f>ROUND(C35*1.5,0)</f>
        <v/>
      </c>
      <c r="D44" s="17">
        <f>C16+6</f>
        <v/>
      </c>
      <c r="E44" s="17">
        <f>C44*D44</f>
        <v/>
      </c>
      <c r="F44" s="17">
        <f>C11</f>
        <v/>
      </c>
      <c r="G44" s="17">
        <f>E44-F44</f>
        <v/>
      </c>
      <c r="H44" s="17">
        <f>H43+G44</f>
        <v/>
      </c>
    </row>
    <row r="45">
      <c r="B45" s="4" t="inlineStr">
        <is>
          <t>11ヶ月目</t>
        </is>
      </c>
      <c r="C45" s="17">
        <f>ROUND(C35*1.5,0)</f>
        <v/>
      </c>
      <c r="D45" s="17">
        <f>C16+6</f>
        <v/>
      </c>
      <c r="E45" s="17">
        <f>C45*D45</f>
        <v/>
      </c>
      <c r="F45" s="17">
        <f>C11</f>
        <v/>
      </c>
      <c r="G45" s="17">
        <f>E45-F45</f>
        <v/>
      </c>
      <c r="H45" s="17">
        <f>H44+G45</f>
        <v/>
      </c>
    </row>
    <row r="46">
      <c r="B46" s="4" t="inlineStr">
        <is>
          <t>12ヶ月目</t>
        </is>
      </c>
      <c r="C46" s="17">
        <f>ROUND(C35*1.5,0)</f>
        <v/>
      </c>
      <c r="D46" s="17">
        <f>C16+6</f>
        <v/>
      </c>
      <c r="E46" s="17">
        <f>C46*D46</f>
        <v/>
      </c>
      <c r="F46" s="17">
        <f>C11</f>
        <v/>
      </c>
      <c r="G46" s="17">
        <f>E46-F46</f>
        <v/>
      </c>
      <c r="H46" s="17">
        <f>H45+G46</f>
        <v/>
      </c>
    </row>
    <row r="63">
      <c r="B63" s="3" t="inlineStr">
        <is>
          <t>💡 使い方</t>
        </is>
      </c>
    </row>
    <row r="65">
      <c r="B65" s="6" t="inlineStr">
        <is>
          <t>1. 黄色いセル（STEP 1）に自分の情報を入力してください</t>
        </is>
      </c>
    </row>
    <row r="66">
      <c r="B66" s="6" t="inlineStr">
        <is>
          <t>2. STEP 2以降は自動計算されます</t>
        </is>
      </c>
    </row>
    <row r="67">
      <c r="B67" s="6" t="inlineStr">
        <is>
          <t>3. 成長シミュレーションは、3ヶ月ごとに単価10〜20%UP、案件数+2件を想定しています</t>
        </is>
      </c>
    </row>
    <row r="68">
      <c r="B68" s="6" t="inlineStr">
        <is>
          <t>4. 実際の成長速度は人それぞれです。目安としてご活用ください</t>
        </is>
      </c>
    </row>
    <row r="69">
      <c r="B69" s="6" t="inlineStr">
        <is>
          <t>5. このシートをGoogleスプレッドシートにアップロードして使えます</t>
        </is>
      </c>
    </row>
  </sheetData>
  <mergeCells count="2">
    <mergeCell ref="B3:E3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4A853"/>
    <outlinePr summaryBelow="1" summaryRight="1"/>
    <pageSetUpPr/>
  </sheetPr>
  <dimension ref="B2:G16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5" customWidth="1" min="3" max="3"/>
    <col width="18" customWidth="1" min="4" max="4"/>
    <col width="18" customWidth="1" min="5" max="5"/>
    <col width="18" customWidth="1" min="6" max="6"/>
    <col width="15" customWidth="1" min="7" max="7"/>
  </cols>
  <sheetData>
    <row r="2">
      <c r="B2" s="1" t="inlineStr">
        <is>
          <t>📊 スキル別 案件相場一覧</t>
        </is>
      </c>
    </row>
    <row r="4">
      <c r="B4" s="16" t="inlineStr">
        <is>
          <t>スキル</t>
        </is>
      </c>
      <c r="C4" s="16" t="inlineStr">
        <is>
          <t>案件の種類</t>
        </is>
      </c>
      <c r="D4" s="16" t="inlineStr">
        <is>
          <t>初心者相場</t>
        </is>
      </c>
      <c r="E4" s="16" t="inlineStr">
        <is>
          <t>実績3件後</t>
        </is>
      </c>
      <c r="F4" s="16" t="inlineStr">
        <is>
          <t>実績10件後</t>
        </is>
      </c>
      <c r="G4" s="16" t="inlineStr">
        <is>
          <t>作業時間目安</t>
        </is>
      </c>
    </row>
    <row r="5">
      <c r="B5" s="18" t="inlineStr">
        <is>
          <t>動画編集</t>
        </is>
      </c>
      <c r="C5" s="18" t="inlineStr">
        <is>
          <t>YouTube動画（10分）</t>
        </is>
      </c>
      <c r="D5" s="18" t="inlineStr">
        <is>
          <t>3,000〜5,000円</t>
        </is>
      </c>
      <c r="E5" s="18" t="inlineStr">
        <is>
          <t>5,000〜8,000円</t>
        </is>
      </c>
      <c r="F5" s="18" t="inlineStr">
        <is>
          <t>8,000〜15,000円</t>
        </is>
      </c>
      <c r="G5" s="18" t="inlineStr">
        <is>
          <t>2〜4時間</t>
        </is>
      </c>
    </row>
    <row r="6">
      <c r="B6" s="4" t="inlineStr">
        <is>
          <t>動画編集</t>
        </is>
      </c>
      <c r="C6" s="4" t="inlineStr">
        <is>
          <t>ショート動画</t>
        </is>
      </c>
      <c r="D6" s="4" t="inlineStr">
        <is>
          <t>1,000〜3,000円</t>
        </is>
      </c>
      <c r="E6" s="4" t="inlineStr">
        <is>
          <t>3,000〜5,000円</t>
        </is>
      </c>
      <c r="F6" s="4" t="inlineStr">
        <is>
          <t>5,000〜10,000円</t>
        </is>
      </c>
      <c r="G6" s="4" t="inlineStr">
        <is>
          <t>1〜2時間</t>
        </is>
      </c>
    </row>
    <row r="7">
      <c r="B7" s="18" t="inlineStr">
        <is>
          <t>動画編集</t>
        </is>
      </c>
      <c r="C7" s="18" t="inlineStr">
        <is>
          <t>YouTube運営代行（月額）</t>
        </is>
      </c>
      <c r="D7" s="18" t="inlineStr">
        <is>
          <t>−</t>
        </is>
      </c>
      <c r="E7" s="18" t="inlineStr">
        <is>
          <t>3〜5万円</t>
        </is>
      </c>
      <c r="F7" s="18" t="inlineStr">
        <is>
          <t>5〜10万円</t>
        </is>
      </c>
      <c r="G7" s="18" t="inlineStr">
        <is>
          <t>月20〜40時間</t>
        </is>
      </c>
    </row>
    <row r="8">
      <c r="B8" s="4" t="inlineStr">
        <is>
          <t>デザイン</t>
        </is>
      </c>
      <c r="C8" s="4" t="inlineStr">
        <is>
          <t>バナー1枚</t>
        </is>
      </c>
      <c r="D8" s="4" t="inlineStr">
        <is>
          <t>3,000〜5,000円</t>
        </is>
      </c>
      <c r="E8" s="4" t="inlineStr">
        <is>
          <t>5,000〜10,000円</t>
        </is>
      </c>
      <c r="F8" s="4" t="inlineStr">
        <is>
          <t>10,000〜30,000円</t>
        </is>
      </c>
      <c r="G8" s="4" t="inlineStr">
        <is>
          <t>1〜3時間</t>
        </is>
      </c>
    </row>
    <row r="9">
      <c r="B9" s="18" t="inlineStr">
        <is>
          <t>デザイン</t>
        </is>
      </c>
      <c r="C9" s="18" t="inlineStr">
        <is>
          <t>サムネイル1枚</t>
        </is>
      </c>
      <c r="D9" s="18" t="inlineStr">
        <is>
          <t>1,000〜3,000円</t>
        </is>
      </c>
      <c r="E9" s="18" t="inlineStr">
        <is>
          <t>3,000〜5,000円</t>
        </is>
      </c>
      <c r="F9" s="18" t="inlineStr">
        <is>
          <t>5,000〜10,000円</t>
        </is>
      </c>
      <c r="G9" s="18" t="inlineStr">
        <is>
          <t>30分〜1時間</t>
        </is>
      </c>
    </row>
    <row r="10">
      <c r="B10" s="4" t="inlineStr">
        <is>
          <t>デザイン</t>
        </is>
      </c>
      <c r="C10" s="4" t="inlineStr">
        <is>
          <t>LP デザイン</t>
        </is>
      </c>
      <c r="D10" s="4" t="inlineStr">
        <is>
          <t>3〜5万円</t>
        </is>
      </c>
      <c r="E10" s="4" t="inlineStr">
        <is>
          <t>5〜10万円</t>
        </is>
      </c>
      <c r="F10" s="4" t="inlineStr">
        <is>
          <t>10〜30万円</t>
        </is>
      </c>
      <c r="G10" s="4" t="inlineStr">
        <is>
          <t>10〜20時間</t>
        </is>
      </c>
    </row>
    <row r="11">
      <c r="B11" s="18" t="inlineStr">
        <is>
          <t>プログラミング</t>
        </is>
      </c>
      <c r="C11" s="18" t="inlineStr">
        <is>
          <t>LP コーディング</t>
        </is>
      </c>
      <c r="D11" s="18" t="inlineStr">
        <is>
          <t>3〜5万円</t>
        </is>
      </c>
      <c r="E11" s="18" t="inlineStr">
        <is>
          <t>5〜10万円</t>
        </is>
      </c>
      <c r="F11" s="18" t="inlineStr">
        <is>
          <t>10〜30万円</t>
        </is>
      </c>
      <c r="G11" s="18" t="inlineStr">
        <is>
          <t>5〜15時間</t>
        </is>
      </c>
    </row>
    <row r="12">
      <c r="B12" s="4" t="inlineStr">
        <is>
          <t>プログラミング</t>
        </is>
      </c>
      <c r="C12" s="4" t="inlineStr">
        <is>
          <t>サイト修正</t>
        </is>
      </c>
      <c r="D12" s="4" t="inlineStr">
        <is>
          <t>5,000〜10,000円</t>
        </is>
      </c>
      <c r="E12" s="4" t="inlineStr">
        <is>
          <t>10,000〜30,000円</t>
        </is>
      </c>
      <c r="F12" s="4" t="inlineStr">
        <is>
          <t>30,000〜50,000円</t>
        </is>
      </c>
      <c r="G12" s="4" t="inlineStr">
        <is>
          <t>1〜5時間</t>
        </is>
      </c>
    </row>
    <row r="13">
      <c r="B13" s="18" t="inlineStr">
        <is>
          <t>プログラミング</t>
        </is>
      </c>
      <c r="C13" s="18" t="inlineStr">
        <is>
          <t>WordPress構築</t>
        </is>
      </c>
      <c r="D13" s="18" t="inlineStr">
        <is>
          <t>5〜10万円</t>
        </is>
      </c>
      <c r="E13" s="18" t="inlineStr">
        <is>
          <t>10〜20万円</t>
        </is>
      </c>
      <c r="F13" s="18" t="inlineStr">
        <is>
          <t>20〜50万円</t>
        </is>
      </c>
      <c r="G13" s="18" t="inlineStr">
        <is>
          <t>20〜40時間</t>
        </is>
      </c>
    </row>
    <row r="14">
      <c r="B14" s="4" t="inlineStr">
        <is>
          <t>ライティング</t>
        </is>
      </c>
      <c r="C14" s="4" t="inlineStr">
        <is>
          <t>SEO記事（3,000字）</t>
        </is>
      </c>
      <c r="D14" s="4" t="inlineStr">
        <is>
          <t>3,000円（文字単価1円）</t>
        </is>
      </c>
      <c r="E14" s="4" t="inlineStr">
        <is>
          <t>6,000〜9,000円</t>
        </is>
      </c>
      <c r="F14" s="4" t="inlineStr">
        <is>
          <t>9,000〜15,000円</t>
        </is>
      </c>
      <c r="G14" s="4" t="inlineStr">
        <is>
          <t>3〜5時間</t>
        </is>
      </c>
    </row>
    <row r="15">
      <c r="B15" s="18" t="inlineStr">
        <is>
          <t>ライティング</t>
        </is>
      </c>
      <c r="C15" s="18" t="inlineStr">
        <is>
          <t>SEO記事（5,000字）</t>
        </is>
      </c>
      <c r="D15" s="18" t="inlineStr">
        <is>
          <t>5,000円（文字単価1円）</t>
        </is>
      </c>
      <c r="E15" s="18" t="inlineStr">
        <is>
          <t>10,000〜15,000円</t>
        </is>
      </c>
      <c r="F15" s="18" t="inlineStr">
        <is>
          <t>15,000〜25,000円</t>
        </is>
      </c>
      <c r="G15" s="18" t="inlineStr">
        <is>
          <t>5〜8時間</t>
        </is>
      </c>
    </row>
    <row r="16">
      <c r="B16" s="4" t="inlineStr">
        <is>
          <t>ライティング</t>
        </is>
      </c>
      <c r="C16" s="4" t="inlineStr">
        <is>
          <t>取材記事</t>
        </is>
      </c>
      <c r="D16" s="4" t="inlineStr">
        <is>
          <t>5,000〜10,000円</t>
        </is>
      </c>
      <c r="E16" s="4" t="inlineStr">
        <is>
          <t>10,000〜30,000円</t>
        </is>
      </c>
      <c r="F16" s="4" t="inlineStr">
        <is>
          <t>30,000〜50,000円</t>
        </is>
      </c>
      <c r="G16" s="4" t="inlineStr">
        <is>
          <t>5〜10時間</t>
        </is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B2:E29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2">
      <c r="B2" s="1" t="inlineStr">
        <is>
          <t>🎯 目標逆算シート</t>
        </is>
      </c>
    </row>
    <row r="3">
      <c r="B3" s="2" t="inlineStr">
        <is>
          <t>目標月収から、必要な案件数・作業時間を逆算します</t>
        </is>
      </c>
    </row>
    <row r="5">
      <c r="B5" s="3" t="inlineStr">
        <is>
          <t>📋 目標と条件を入力</t>
        </is>
      </c>
    </row>
    <row r="7">
      <c r="B7" s="4" t="inlineStr">
        <is>
          <t>目標月収（円）</t>
        </is>
      </c>
      <c r="C7" s="7" t="n">
        <v>100000</v>
      </c>
      <c r="D7" s="6" t="inlineStr">
        <is>
          <t>例）100,000円 = 月10万円</t>
        </is>
      </c>
    </row>
    <row r="8">
      <c r="B8" s="4" t="inlineStr">
        <is>
          <t>1案件あたりの単価（円）</t>
        </is>
      </c>
      <c r="C8" s="7" t="n">
        <v>5000</v>
      </c>
      <c r="D8" s="6" t="inlineStr">
        <is>
          <t>メインシートの値を参照してもOK</t>
        </is>
      </c>
    </row>
    <row r="9">
      <c r="B9" s="4" t="inlineStr">
        <is>
          <t>1案件あたりの作業時間（時間）</t>
        </is>
      </c>
      <c r="C9" s="7" t="n">
        <v>3</v>
      </c>
    </row>
    <row r="10">
      <c r="B10" s="4" t="inlineStr">
        <is>
          <t>月間経費（円）</t>
        </is>
      </c>
      <c r="C10" s="7" t="n">
        <v>2000</v>
      </c>
    </row>
    <row r="13">
      <c r="B13" s="3" t="inlineStr">
        <is>
          <t>📊 逆算結果</t>
        </is>
      </c>
    </row>
    <row r="15">
      <c r="B15" s="4" t="inlineStr">
        <is>
          <t>必要な月間売上（経費込み）</t>
        </is>
      </c>
      <c r="C15" s="8">
        <f>C7+C10</f>
        <v/>
      </c>
      <c r="D15" s="6" t="inlineStr">
        <is>
          <t>目標月収 + 経費</t>
        </is>
      </c>
    </row>
    <row r="16">
      <c r="B16" s="4" t="inlineStr">
        <is>
          <t>必要な月間案件数</t>
        </is>
      </c>
      <c r="C16" s="8">
        <f>ROUNDUP(C15/C8,0)</f>
        <v/>
      </c>
      <c r="D16" s="6" t="inlineStr">
        <is>
          <t>売上 ÷ 単価（切り上げ）</t>
        </is>
      </c>
    </row>
    <row r="17">
      <c r="B17" s="4" t="inlineStr">
        <is>
          <t>必要な月間作業時間</t>
        </is>
      </c>
      <c r="C17" s="19">
        <f>C16*C9</f>
        <v/>
      </c>
      <c r="D17" s="6" t="inlineStr">
        <is>
          <t>案件数 × 1案件の作業時間</t>
        </is>
      </c>
    </row>
    <row r="18">
      <c r="B18" s="4" t="inlineStr">
        <is>
          <t>1日あたりの作業時間（30日計算）</t>
        </is>
      </c>
      <c r="C18" s="19">
        <f>ROUND(C17/30,1)</f>
        <v/>
      </c>
    </row>
    <row r="19">
      <c r="B19" s="20" t="inlineStr">
        <is>
          <t>1日あたりの作業時間（平日20日計算）</t>
        </is>
      </c>
      <c r="C19" s="21">
        <f>ROUND(C17/20,1)</f>
        <v/>
      </c>
    </row>
    <row r="20">
      <c r="B20" s="4" t="inlineStr">
        <is>
          <t>実質時給</t>
        </is>
      </c>
      <c r="C20" s="8">
        <f>ROUND(C7/C17,0)</f>
        <v/>
      </c>
      <c r="D20" s="6" t="inlineStr">
        <is>
          <t>目標月収 ÷ 作業時間</t>
        </is>
      </c>
    </row>
    <row r="23">
      <c r="B23" s="3" t="inlineStr">
        <is>
          <t>💡 判定</t>
        </is>
      </c>
    </row>
    <row r="25">
      <c r="B25" s="9" t="inlineStr">
        <is>
          <t>1日の作業時間が…</t>
        </is>
      </c>
    </row>
    <row r="26">
      <c r="B26" s="4" t="inlineStr">
        <is>
          <t>1時間以内</t>
        </is>
      </c>
      <c r="C26" s="4" t="inlineStr">
        <is>
          <t>→ 🟢 余裕あり。本業と無理なく両立できます</t>
        </is>
      </c>
      <c r="D26" s="22" t="n"/>
      <c r="E26" s="23" t="n"/>
    </row>
    <row r="27">
      <c r="B27" s="4" t="inlineStr">
        <is>
          <t>1〜2時間</t>
        </is>
      </c>
      <c r="C27" s="4" t="inlineStr">
        <is>
          <t>→ 🟡 現実的。朝 or 夜に時間を確保すればOK</t>
        </is>
      </c>
      <c r="D27" s="22" t="n"/>
      <c r="E27" s="23" t="n"/>
    </row>
    <row r="28">
      <c r="B28" s="4" t="inlineStr">
        <is>
          <t>2〜3時間</t>
        </is>
      </c>
      <c r="C28" s="4" t="inlineStr">
        <is>
          <t>→ 🟠 やや多め。休日にまとめて作業する工夫を</t>
        </is>
      </c>
      <c r="D28" s="22" t="n"/>
      <c r="E28" s="23" t="n"/>
    </row>
    <row r="29">
      <c r="B29" s="4" t="inlineStr">
        <is>
          <t>3時間以上</t>
        </is>
      </c>
      <c r="C29" s="4" t="inlineStr">
        <is>
          <t>→ 🔴 単価UPが必要。スキルの掛け合わせを検討</t>
        </is>
      </c>
      <c r="D29" s="22" t="n"/>
      <c r="E29" s="23" t="n"/>
    </row>
  </sheetData>
  <mergeCells count="6">
    <mergeCell ref="C28:E28"/>
    <mergeCell ref="C27:E27"/>
    <mergeCell ref="C26:E26"/>
    <mergeCell ref="B3:E3"/>
    <mergeCell ref="B2:E2"/>
    <mergeCell ref="C29:E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2026-02-08T08:54:51Z</dcterms:created>
  <dcterms:modified xsi:type="dcterms:W3CDTF">2026-02-08T08:54:51Z</dcterms:modified>
</cp:coreProperties>
</file>